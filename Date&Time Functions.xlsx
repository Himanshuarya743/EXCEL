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IMANSHU ARYA DA24\"/>
    </mc:Choice>
  </mc:AlternateContent>
  <xr:revisionPtr revIDLastSave="0" documentId="13_ncr:1_{5215F4A6-FCD2-42F1-9DAF-A1806D47444D}" xr6:coauthVersionLast="47" xr6:coauthVersionMax="47" xr10:uidLastSave="{00000000-0000-0000-0000-000000000000}"/>
  <bookViews>
    <workbookView xWindow="-120" yWindow="-120" windowWidth="29040" windowHeight="15720" xr2:uid="{66D2013F-026A-4B14-A1F1-9CB3F1B6F51F}"/>
  </bookViews>
  <sheets>
    <sheet name="Date and Time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3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" i="1"/>
  <c r="X3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G24" i="1"/>
  <c r="G2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" i="1"/>
  <c r="AH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" i="1"/>
  <c r="U2" i="1"/>
  <c r="U4" i="1"/>
  <c r="U3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Vasant Gadhavi</author>
  </authors>
  <commentList>
    <comment ref="Q2" authorId="0" shapeId="0" xr:uid="{711C908C-FC61-4E7E-8175-3C5B003C3002}">
      <text>
        <r>
          <rPr>
            <b/>
            <sz val="9"/>
            <color indexed="81"/>
            <rFont val="Tahoma"/>
            <family val="2"/>
          </rPr>
          <t>System 1 applies the general calendar rule, starting Week 1 on January 1st regardless of the day.</t>
        </r>
      </text>
    </comment>
    <comment ref="R2" authorId="0" shapeId="0" xr:uid="{D1456641-FCB0-443A-A83F-5D3D0885D4C6}">
      <text>
        <r>
          <rPr>
            <b/>
            <sz val="9"/>
            <color indexed="81"/>
            <rFont val="Tahoma"/>
            <family val="2"/>
          </rPr>
          <t>System 2 uses the ISO 4-day rule: if January 1st falls on a Friday, Saturday, or Sunday, the new year has 3 or fewer days in that partial week, pushing those days into Week 52 or 53 of the previous year and delaying Week 1 until the first Monday.</t>
        </r>
      </text>
    </comment>
    <comment ref="S2" authorId="0" shapeId="0" xr:uid="{70764510-D05B-4630-9485-4535B3E7E7C5}">
      <text>
        <r>
          <rPr>
            <b/>
            <sz val="9"/>
            <color indexed="81"/>
            <rFont val="Tahoma"/>
            <family val="2"/>
          </rPr>
          <t>It calculates the week number of a given date according to the ISO 8601 standard (System 2).</t>
        </r>
      </text>
    </comment>
  </commentList>
</comments>
</file>

<file path=xl/sharedStrings.xml><?xml version="1.0" encoding="utf-8"?>
<sst xmlns="http://schemas.openxmlformats.org/spreadsheetml/2006/main" count="86" uniqueCount="60">
  <si>
    <t>Emp_ID</t>
  </si>
  <si>
    <t>Start_Date</t>
  </si>
  <si>
    <t>End_Date</t>
  </si>
  <si>
    <t>Hourly_Rate</t>
  </si>
  <si>
    <t>Status</t>
  </si>
  <si>
    <t>EMP-101</t>
  </si>
  <si>
    <t>$65</t>
  </si>
  <si>
    <t>Completed</t>
  </si>
  <si>
    <t>EMP-102</t>
  </si>
  <si>
    <t>$75</t>
  </si>
  <si>
    <t>EMP-103</t>
  </si>
  <si>
    <t>$80</t>
  </si>
  <si>
    <t>EMP-104</t>
  </si>
  <si>
    <t>$55</t>
  </si>
  <si>
    <t>EMP-105</t>
  </si>
  <si>
    <t>$90</t>
  </si>
  <si>
    <t>EMP-106</t>
  </si>
  <si>
    <t>$60</t>
  </si>
  <si>
    <t>EMP-107</t>
  </si>
  <si>
    <t>$85</t>
  </si>
  <si>
    <t>Active</t>
  </si>
  <si>
    <t>EMP-108</t>
  </si>
  <si>
    <t>$70</t>
  </si>
  <si>
    <t>EMP-109</t>
  </si>
  <si>
    <t>$95</t>
  </si>
  <si>
    <t>EMP-110</t>
  </si>
  <si>
    <t>EMP-111</t>
  </si>
  <si>
    <t>EMP-112</t>
  </si>
  <si>
    <t>$100</t>
  </si>
  <si>
    <t>EMP-113</t>
  </si>
  <si>
    <t>$50</t>
  </si>
  <si>
    <t>EMP-114</t>
  </si>
  <si>
    <t>EMP-115</t>
  </si>
  <si>
    <t>EMP-116</t>
  </si>
  <si>
    <t>EMP-117</t>
  </si>
  <si>
    <t>EMP-118</t>
  </si>
  <si>
    <t>EMP-119</t>
  </si>
  <si>
    <t>EMP-120</t>
  </si>
  <si>
    <t>$110</t>
  </si>
  <si>
    <t>TODAY()</t>
  </si>
  <si>
    <t>NOW()</t>
  </si>
  <si>
    <t>TIME()</t>
  </si>
  <si>
    <t>DATE()</t>
  </si>
  <si>
    <t>YEAR()</t>
  </si>
  <si>
    <t>DAY()</t>
  </si>
  <si>
    <t>HOUR()</t>
  </si>
  <si>
    <t>MINUTE()</t>
  </si>
  <si>
    <t>SECOND()</t>
  </si>
  <si>
    <t>EDATE()</t>
  </si>
  <si>
    <t>EOMONTH()</t>
  </si>
  <si>
    <t>DATEDIF()</t>
  </si>
  <si>
    <t>WEEKNUM()</t>
  </si>
  <si>
    <t>ISOWEEKNUM()</t>
  </si>
  <si>
    <t>DAYS()</t>
  </si>
  <si>
    <t>WORKDAY()</t>
  </si>
  <si>
    <t>Holidays</t>
  </si>
  <si>
    <t>WORKDAY.INTL()</t>
  </si>
  <si>
    <t>NETWORKDAYS()</t>
  </si>
  <si>
    <t>MONTHS()</t>
  </si>
  <si>
    <t>NETWORKDAYS.INTL()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</si>
</sst>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18" fontId="0" fillId="0" borderId="0" xfId="0" applyNumberFormat="1"/>
    <xf numFmtId="164" fontId="0" fillId="0" borderId="0" xfId="0" applyNumberFormat="1"/>
    <xf numFmtId="14" fontId="0" fillId="4" borderId="0" xfId="0" applyNumberForma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2">
    <dxf>
      <numFmt numFmtId="27" formatCode="dd/mm/yyyy\ hh:mm"/>
    </dxf>
    <dxf>
      <numFmt numFmtId="164" formatCode="dd/mm/yyyy\ hh:mm:ss"/>
    </dxf>
  </dxfs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BA8D8-1CBF-432E-B5A8-D77004CBC7F3}" name="EMP" displayName="EMP" ref="A1:E21" totalsRowShown="0">
  <autoFilter ref="A1:E21" xr:uid="{23DBA8D8-1CBF-432E-B5A8-D77004CBC7F3}"/>
  <tableColumns count="5">
    <tableColumn id="1" xr3:uid="{F9E250D8-4EB9-46C2-8B7B-C8D08FB39C88}" name="Emp_ID"/>
    <tableColumn id="3" xr3:uid="{B21C771C-0D21-44D3-BAC5-CE48C9BB2A15}" name="Start_Date" dataDxfId="1"/>
    <tableColumn id="4" xr3:uid="{F63A8A25-1F48-4F70-B74D-FBE0DF8F5CB4}" name="End_Date" dataDxfId="0"/>
    <tableColumn id="5" xr3:uid="{B9466B55-2101-48A6-8F8B-BF2786B9BF22}" name="Hourly_Rate"/>
    <tableColumn id="6" xr3:uid="{ECFB4484-17BA-4FD6-BEF3-FE5E0ABBEF34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76B0-48CE-415A-A3B7-C1424F8CD2CF}">
  <dimension ref="A1:AM24"/>
  <sheetViews>
    <sheetView tabSelected="1" workbookViewId="0">
      <pane xSplit="7" ySplit="1" topLeftCell="R2" activePane="bottomRight" state="frozen"/>
      <selection pane="topRight" activeCell="H1" sqref="H1"/>
      <selection pane="bottomLeft" activeCell="A2" sqref="A2"/>
      <selection pane="bottomRight" activeCell="AE2" sqref="AE2:AE21"/>
    </sheetView>
  </sheetViews>
  <sheetFormatPr defaultRowHeight="15" x14ac:dyDescent="0.25"/>
  <cols>
    <col min="1" max="1" width="10" bestFit="1" customWidth="1"/>
    <col min="2" max="2" width="18.28515625" bestFit="1" customWidth="1"/>
    <col min="3" max="3" width="15.5703125" bestFit="1" customWidth="1"/>
    <col min="4" max="4" width="14.140625" bestFit="1" customWidth="1"/>
    <col min="5" max="5" width="10.85546875" bestFit="1" customWidth="1"/>
    <col min="6" max="6" width="8.42578125" bestFit="1" customWidth="1"/>
    <col min="7" max="7" width="15.5703125" bestFit="1" customWidth="1"/>
    <col min="9" max="9" width="8.7109375" customWidth="1"/>
    <col min="10" max="10" width="11.140625" customWidth="1"/>
    <col min="15" max="15" width="10.42578125" bestFit="1" customWidth="1"/>
    <col min="19" max="19" width="15" bestFit="1" customWidth="1"/>
    <col min="24" max="33" width="10.42578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4" t="s">
        <v>55</v>
      </c>
      <c r="I1" s="3" t="s">
        <v>43</v>
      </c>
      <c r="J1" s="3" t="s">
        <v>58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42</v>
      </c>
      <c r="P1" s="3" t="s">
        <v>41</v>
      </c>
      <c r="Q1" s="8" t="s">
        <v>51</v>
      </c>
      <c r="R1" s="8"/>
      <c r="S1" s="3" t="s">
        <v>52</v>
      </c>
      <c r="T1" s="3" t="s">
        <v>53</v>
      </c>
      <c r="U1" s="8" t="s">
        <v>50</v>
      </c>
      <c r="V1" s="8"/>
      <c r="W1" s="8"/>
      <c r="X1" s="8" t="s">
        <v>48</v>
      </c>
      <c r="Y1" s="8"/>
      <c r="Z1" s="8" t="s">
        <v>49</v>
      </c>
      <c r="AA1" s="8"/>
      <c r="AB1" s="8"/>
      <c r="AC1" s="8" t="s">
        <v>54</v>
      </c>
      <c r="AD1" s="8"/>
      <c r="AE1" s="8" t="s">
        <v>56</v>
      </c>
      <c r="AF1" s="8"/>
      <c r="AG1" s="8"/>
      <c r="AH1" s="8" t="s">
        <v>57</v>
      </c>
      <c r="AI1" s="8"/>
      <c r="AJ1" s="8"/>
      <c r="AK1" s="8" t="s">
        <v>59</v>
      </c>
      <c r="AL1" s="8"/>
      <c r="AM1" s="8"/>
    </row>
    <row r="2" spans="1:39" x14ac:dyDescent="0.25">
      <c r="A2" t="s">
        <v>5</v>
      </c>
      <c r="B2" s="6">
        <v>44941.771180555559</v>
      </c>
      <c r="C2" s="1">
        <v>45107.708333333336</v>
      </c>
      <c r="D2" t="s">
        <v>6</v>
      </c>
      <c r="E2" t="s">
        <v>7</v>
      </c>
      <c r="G2" s="7">
        <v>44952</v>
      </c>
      <c r="I2">
        <f>YEAR(EMP[[#This Row],[Start_Date]])</f>
        <v>2023</v>
      </c>
      <c r="J2">
        <f>MONTH(EMP[[#This Row],[Start_Date]])</f>
        <v>1</v>
      </c>
      <c r="K2">
        <f>DAY(EMP[[#This Row],[Start_Date]])</f>
        <v>15</v>
      </c>
      <c r="L2">
        <f>HOUR(EMP[[#This Row],[Start_Date]])</f>
        <v>18</v>
      </c>
      <c r="M2">
        <f>MINUTE(EMP[[#This Row],[Start_Date]])</f>
        <v>30</v>
      </c>
      <c r="N2">
        <f>SECOND(EMP[[#This Row],[Start_Date]])</f>
        <v>30</v>
      </c>
      <c r="O2" s="2">
        <f>DATE(I2,J2,K2)</f>
        <v>44941</v>
      </c>
      <c r="P2" s="5">
        <f>TIME(L2,M2,N2)</f>
        <v>0.77118055555555554</v>
      </c>
      <c r="Q2">
        <f>WEEKNUM(EMP[[#This Row],[Start_Date]],11)</f>
        <v>3</v>
      </c>
      <c r="R2">
        <f>WEEKNUM(EMP[[#This Row],[Start_Date]],21)</f>
        <v>2</v>
      </c>
      <c r="S2">
        <f>_xlfn.ISOWEEKNUM(EMP[[#This Row],[Start_Date]])</f>
        <v>2</v>
      </c>
      <c r="T2">
        <f>_xlfn.DAYS(EMP[[#This Row],[End_Date]],EMP[[#This Row],[Start_Date]])</f>
        <v>166</v>
      </c>
      <c r="U2">
        <f>DATEDIF(EMP[[#This Row],[Start_Date]],EMP[[#This Row],[End_Date]], "Y")</f>
        <v>0</v>
      </c>
      <c r="V2">
        <f>DATEDIF(EMP[[#This Row],[Start_Date]],EMP[[#This Row],[End_Date]], "M")</f>
        <v>5</v>
      </c>
      <c r="W2">
        <f>DATEDIF(EMP[[#This Row],[Start_Date]],EMP[[#This Row],[End_Date]], "D")</f>
        <v>166</v>
      </c>
      <c r="X2" s="2">
        <f>EDATE(EMP[[#This Row],[Start_Date]],4)</f>
        <v>45061</v>
      </c>
      <c r="Y2" s="2">
        <f>EDATE(EMP[[#This Row],[Start_Date]],5)</f>
        <v>45092</v>
      </c>
      <c r="Z2" s="2">
        <f>EOMONTH(EMP[[#This Row],[Start_Date]],2)</f>
        <v>45016</v>
      </c>
      <c r="AA2" s="2">
        <f>EOMONTH(EMP[[#This Row],[Start_Date]],3)</f>
        <v>45046</v>
      </c>
      <c r="AB2" s="2">
        <f>EOMONTH(EMP[[#This Row],[Start_Date]],4)</f>
        <v>45077</v>
      </c>
      <c r="AC2" s="2">
        <f>WORKDAY(EMP[[#This Row],[Start_Date]],4,$G$2:$G$21)</f>
        <v>44945</v>
      </c>
      <c r="AD2" s="2">
        <f>WORKDAY(EMP[[#This Row],[Start_Date]],10,G2:$G$21)</f>
        <v>44956</v>
      </c>
      <c r="AE2" s="2">
        <f>WORKDAY.INTL(EMP[[#This Row],[Start_Date]],5,)</f>
        <v>44946</v>
      </c>
      <c r="AF2" s="2">
        <f>WORKDAY.INTL(EMP[[#This Row],[Start_Date]],20,13,$G$2:$G$21)</f>
        <v>44966</v>
      </c>
      <c r="AG2" s="2">
        <f>WORKDAY(EMP[[#This Row],[Start_Date]],-20)</f>
        <v>44914</v>
      </c>
      <c r="AH2">
        <f>NETWORKDAYS(EMP[[#This Row],[Start_Date]],EMP[[#This Row],[End_Date]],{"26-01-2023","15-08-2023","26-01-2024","15-08-2024","26-01-2025","15-08-2025","26-01-2026","15-08-2026"})</f>
        <v>119</v>
      </c>
      <c r="AI2">
        <f>NETWORKDAYS(EMP[[#This Row],[Start_Date]],EMP[[#This Row],[End_Date]],$G$2:$G$21)</f>
        <v>119</v>
      </c>
      <c r="AJ2">
        <f>NETWORKDAYS(EMP[[#This Row],[Start_Date]],EMP[[#This Row],[End_Date]])</f>
        <v>120</v>
      </c>
      <c r="AK2">
        <f>NETWORKDAYS.INTL(EMP[[#This Row],[Start_Date]],EMP[[#This Row],[End_Date]],13,{"26-01-2023","15-08-2023","26-01-2024","15-08-2024","26-01-2025","15-08-2025","26-01-2026","15-08-2026"})</f>
        <v>142</v>
      </c>
      <c r="AL2">
        <f>NETWORKDAYS.INTL(EMP[[#This Row],[Start_Date]],EMP[[#This Row],[End_Date]],13,$G$2:$G$21)</f>
        <v>142</v>
      </c>
      <c r="AM2">
        <f>NETWORKDAYS.INTL(EMP[[#This Row],[Start_Date]],EMP[[#This Row],[End_Date]],13)</f>
        <v>143</v>
      </c>
    </row>
    <row r="3" spans="1:39" x14ac:dyDescent="0.25">
      <c r="A3" t="s">
        <v>8</v>
      </c>
      <c r="B3" s="6">
        <v>44986.375</v>
      </c>
      <c r="C3" s="1">
        <v>45245.6875</v>
      </c>
      <c r="D3" t="s">
        <v>9</v>
      </c>
      <c r="E3" t="s">
        <v>7</v>
      </c>
      <c r="G3" s="7">
        <v>45153</v>
      </c>
      <c r="I3">
        <f>YEAR(EMP[[#This Row],[Start_Date]])</f>
        <v>2023</v>
      </c>
      <c r="J3">
        <f>MONTH(EMP[[#This Row],[Start_Date]])</f>
        <v>3</v>
      </c>
      <c r="K3">
        <f>DAY(EMP[[#This Row],[Start_Date]])</f>
        <v>1</v>
      </c>
      <c r="L3">
        <f>HOUR(EMP[[#This Row],[Start_Date]])</f>
        <v>9</v>
      </c>
      <c r="M3">
        <f>MINUTE(EMP[[#This Row],[Start_Date]])</f>
        <v>0</v>
      </c>
      <c r="N3">
        <f>SECOND(EMP[[#This Row],[Start_Date]])</f>
        <v>0</v>
      </c>
      <c r="O3" s="2">
        <f t="shared" ref="O3:O21" si="0">DATE(I3,J3,K3)</f>
        <v>44986</v>
      </c>
      <c r="P3" s="5">
        <f t="shared" ref="P3:P21" si="1">TIME(L3,M3,N3)</f>
        <v>0.375</v>
      </c>
      <c r="Q3">
        <f>WEEKNUM(EMP[[#This Row],[Start_Date]],11)</f>
        <v>10</v>
      </c>
      <c r="R3">
        <f>WEEKNUM(EMP[[#This Row],[Start_Date]],21)</f>
        <v>9</v>
      </c>
      <c r="S3">
        <f>_xlfn.ISOWEEKNUM(EMP[[#This Row],[Start_Date]])</f>
        <v>9</v>
      </c>
      <c r="T3">
        <f>_xlfn.DAYS(EMP[[#This Row],[End_Date]],EMP[[#This Row],[Start_Date]])</f>
        <v>259</v>
      </c>
      <c r="U3">
        <f>DATEDIF(EMP[[#This Row],[Start_Date]],EMP[[#This Row],[End_Date]], "Y")</f>
        <v>0</v>
      </c>
      <c r="V3">
        <f>DATEDIF(EMP[[#This Row],[Start_Date]],EMP[[#This Row],[End_Date]], "M")</f>
        <v>8</v>
      </c>
      <c r="W3">
        <f>DATEDIF(EMP[[#This Row],[Start_Date]],EMP[[#This Row],[End_Date]], "D")</f>
        <v>259</v>
      </c>
      <c r="X3" s="2">
        <f>EDATE(EMP[[#This Row],[Start_Date]],4)</f>
        <v>45108</v>
      </c>
      <c r="Y3" s="2">
        <f>EDATE(EMP[[#This Row],[Start_Date]],5)</f>
        <v>45139</v>
      </c>
      <c r="Z3" s="2">
        <f>EOMONTH(EMP[[#This Row],[Start_Date]],2)</f>
        <v>45077</v>
      </c>
      <c r="AA3" s="2">
        <f>EOMONTH(EMP[[#This Row],[Start_Date]],3)</f>
        <v>45107</v>
      </c>
      <c r="AB3" s="2">
        <f>EOMONTH(EMP[[#This Row],[Start_Date]],4)</f>
        <v>45138</v>
      </c>
      <c r="AC3" s="2">
        <f>WORKDAY(EMP[[#This Row],[Start_Date]],4,$G$2:$G$21)</f>
        <v>44992</v>
      </c>
      <c r="AD3" s="2">
        <f>WORKDAY(EMP[[#This Row],[Start_Date]],10,G3:$G$21)</f>
        <v>45000</v>
      </c>
      <c r="AE3" s="2">
        <f>WORKDAY.INTL(EMP[[#This Row],[Start_Date]],5,)</f>
        <v>44993</v>
      </c>
      <c r="AF3" s="2">
        <f>WORKDAY.INTL(EMP[[#This Row],[Start_Date]],20,13,$G$2:$G$21)</f>
        <v>45009</v>
      </c>
      <c r="AG3" s="2">
        <f>WORKDAY(EMP[[#This Row],[Start_Date]],-20)</f>
        <v>44958</v>
      </c>
      <c r="AH3">
        <f>NETWORKDAYS(EMP[[#This Row],[Start_Date]],EMP[[#This Row],[End_Date]],{"26-01-2023","15-08-2023","26-01-2024","15-08-2024","26-01-2025","15-08-2025","26-01-2026","15-08-2026"})</f>
        <v>185</v>
      </c>
      <c r="AI3">
        <f>NETWORKDAYS(EMP[[#This Row],[Start_Date]],EMP[[#This Row],[End_Date]],$G$2:$G$21)</f>
        <v>184</v>
      </c>
      <c r="AJ3">
        <f>NETWORKDAYS(EMP[[#This Row],[Start_Date]],EMP[[#This Row],[End_Date]])</f>
        <v>186</v>
      </c>
      <c r="AK3">
        <f>NETWORKDAYS.INTL(EMP[[#This Row],[Start_Date]],EMP[[#This Row],[End_Date]],13,{"26-01-2023","15-08-2023","26-01-2024","15-08-2024","26-01-2025","15-08-2025","26-01-2026","15-08-2026"})</f>
        <v>223</v>
      </c>
      <c r="AL3">
        <f>NETWORKDAYS.INTL(EMP[[#This Row],[Start_Date]],EMP[[#This Row],[End_Date]],13,$G$2:$G$21)</f>
        <v>221</v>
      </c>
      <c r="AM3">
        <f>NETWORKDAYS.INTL(EMP[[#This Row],[Start_Date]],EMP[[#This Row],[End_Date]],13)</f>
        <v>223</v>
      </c>
    </row>
    <row r="4" spans="1:39" x14ac:dyDescent="0.25">
      <c r="A4" t="s">
        <v>10</v>
      </c>
      <c r="B4" s="6">
        <v>45056.333333333336</v>
      </c>
      <c r="C4" s="1">
        <v>45422.729166666664</v>
      </c>
      <c r="D4" t="s">
        <v>11</v>
      </c>
      <c r="E4" t="s">
        <v>7</v>
      </c>
      <c r="G4" s="7">
        <v>45201</v>
      </c>
      <c r="I4">
        <f>YEAR(EMP[[#This Row],[Start_Date]])</f>
        <v>2023</v>
      </c>
      <c r="J4">
        <f>MONTH(EMP[[#This Row],[Start_Date]])</f>
        <v>5</v>
      </c>
      <c r="K4">
        <f>DAY(EMP[[#This Row],[Start_Date]])</f>
        <v>10</v>
      </c>
      <c r="L4">
        <f>HOUR(EMP[[#This Row],[Start_Date]])</f>
        <v>8</v>
      </c>
      <c r="M4">
        <f>MINUTE(EMP[[#This Row],[Start_Date]])</f>
        <v>0</v>
      </c>
      <c r="N4">
        <f>SECOND(EMP[[#This Row],[Start_Date]])</f>
        <v>0</v>
      </c>
      <c r="O4" s="2">
        <f t="shared" si="0"/>
        <v>45056</v>
      </c>
      <c r="P4" s="5">
        <f t="shared" si="1"/>
        <v>0.33333333333333331</v>
      </c>
      <c r="Q4">
        <f>WEEKNUM(EMP[[#This Row],[Start_Date]],11)</f>
        <v>20</v>
      </c>
      <c r="R4">
        <f>WEEKNUM(EMP[[#This Row],[Start_Date]],21)</f>
        <v>19</v>
      </c>
      <c r="S4">
        <f>_xlfn.ISOWEEKNUM(EMP[[#This Row],[Start_Date]])</f>
        <v>19</v>
      </c>
      <c r="T4">
        <f>_xlfn.DAYS(EMP[[#This Row],[End_Date]],EMP[[#This Row],[Start_Date]])</f>
        <v>366</v>
      </c>
      <c r="U4">
        <f>DATEDIF(EMP[[#This Row],[Start_Date]],EMP[[#This Row],[End_Date]], "Y")</f>
        <v>1</v>
      </c>
      <c r="V4">
        <f>DATEDIF(EMP[[#This Row],[Start_Date]],EMP[[#This Row],[End_Date]], "M")</f>
        <v>12</v>
      </c>
      <c r="W4">
        <f>DATEDIF(EMP[[#This Row],[Start_Date]],EMP[[#This Row],[End_Date]], "D")</f>
        <v>366</v>
      </c>
      <c r="X4" s="2">
        <f>EDATE(EMP[[#This Row],[Start_Date]],4)</f>
        <v>45179</v>
      </c>
      <c r="Y4" s="2">
        <f>EDATE(EMP[[#This Row],[Start_Date]],5)</f>
        <v>45209</v>
      </c>
      <c r="Z4" s="2">
        <f>EOMONTH(EMP[[#This Row],[Start_Date]],2)</f>
        <v>45138</v>
      </c>
      <c r="AA4" s="2">
        <f>EOMONTH(EMP[[#This Row],[Start_Date]],3)</f>
        <v>45169</v>
      </c>
      <c r="AB4" s="2">
        <f>EOMONTH(EMP[[#This Row],[Start_Date]],4)</f>
        <v>45199</v>
      </c>
      <c r="AC4" s="2">
        <f>WORKDAY(EMP[[#This Row],[Start_Date]],4,$G$2:$G$21)</f>
        <v>45062</v>
      </c>
      <c r="AD4" s="2">
        <f>WORKDAY(EMP[[#This Row],[Start_Date]],10,G4:$G$21)</f>
        <v>45070</v>
      </c>
      <c r="AE4" s="2">
        <f>WORKDAY.INTL(EMP[[#This Row],[Start_Date]],5,)</f>
        <v>45063</v>
      </c>
      <c r="AF4" s="2">
        <f>WORKDAY.INTL(EMP[[#This Row],[Start_Date]],20,13,$G$2:$G$21)</f>
        <v>45079</v>
      </c>
      <c r="AG4" s="2">
        <f>WORKDAY(EMP[[#This Row],[Start_Date]],-20)</f>
        <v>45028</v>
      </c>
      <c r="AH4">
        <f>NETWORKDAYS(EMP[[#This Row],[Start_Date]],EMP[[#This Row],[End_Date]],{"26-01-2023","15-08-2023","26-01-2024","15-08-2024","26-01-2025","15-08-2025","26-01-2026","15-08-2026"})</f>
        <v>261</v>
      </c>
      <c r="AI4">
        <f>NETWORKDAYS(EMP[[#This Row],[Start_Date]],EMP[[#This Row],[End_Date]],$G$2:$G$21)</f>
        <v>257</v>
      </c>
      <c r="AJ4">
        <f>NETWORKDAYS(EMP[[#This Row],[Start_Date]],EMP[[#This Row],[End_Date]])</f>
        <v>263</v>
      </c>
      <c r="AK4">
        <f>NETWORKDAYS.INTL(EMP[[#This Row],[Start_Date]],EMP[[#This Row],[End_Date]],13,{"26-01-2023","15-08-2023","26-01-2024","15-08-2024","26-01-2025","15-08-2025","26-01-2026","15-08-2026"})</f>
        <v>314</v>
      </c>
      <c r="AL4">
        <f>NETWORKDAYS.INTL(EMP[[#This Row],[Start_Date]],EMP[[#This Row],[End_Date]],13,$G$2:$G$21)</f>
        <v>308</v>
      </c>
      <c r="AM4">
        <f>NETWORKDAYS.INTL(EMP[[#This Row],[Start_Date]],EMP[[#This Row],[End_Date]],13)</f>
        <v>315</v>
      </c>
    </row>
    <row r="5" spans="1:39" x14ac:dyDescent="0.25">
      <c r="A5" t="s">
        <v>12</v>
      </c>
      <c r="B5" s="6">
        <v>45139.385416666664</v>
      </c>
      <c r="C5" s="1">
        <v>45322.666666666664</v>
      </c>
      <c r="D5" t="s">
        <v>13</v>
      </c>
      <c r="E5" t="s">
        <v>7</v>
      </c>
      <c r="G5" s="7">
        <v>45242</v>
      </c>
      <c r="I5">
        <f>YEAR(EMP[[#This Row],[Start_Date]])</f>
        <v>2023</v>
      </c>
      <c r="J5">
        <f>MONTH(EMP[[#This Row],[Start_Date]])</f>
        <v>8</v>
      </c>
      <c r="K5">
        <f>DAY(EMP[[#This Row],[Start_Date]])</f>
        <v>1</v>
      </c>
      <c r="L5">
        <f>HOUR(EMP[[#This Row],[Start_Date]])</f>
        <v>9</v>
      </c>
      <c r="M5">
        <f>MINUTE(EMP[[#This Row],[Start_Date]])</f>
        <v>15</v>
      </c>
      <c r="N5">
        <f>SECOND(EMP[[#This Row],[Start_Date]])</f>
        <v>0</v>
      </c>
      <c r="O5" s="2">
        <f t="shared" si="0"/>
        <v>45139</v>
      </c>
      <c r="P5" s="5">
        <f t="shared" si="1"/>
        <v>0.38541666666666669</v>
      </c>
      <c r="Q5">
        <f>WEEKNUM(EMP[[#This Row],[Start_Date]],11)</f>
        <v>32</v>
      </c>
      <c r="R5">
        <f>WEEKNUM(EMP[[#This Row],[Start_Date]],21)</f>
        <v>31</v>
      </c>
      <c r="S5">
        <f>_xlfn.ISOWEEKNUM(EMP[[#This Row],[Start_Date]])</f>
        <v>31</v>
      </c>
      <c r="T5">
        <f>_xlfn.DAYS(EMP[[#This Row],[End_Date]],EMP[[#This Row],[Start_Date]])</f>
        <v>183</v>
      </c>
      <c r="U5">
        <f>DATEDIF(EMP[[#This Row],[Start_Date]],EMP[[#This Row],[End_Date]], "Y")</f>
        <v>0</v>
      </c>
      <c r="V5">
        <f>DATEDIF(EMP[[#This Row],[Start_Date]],EMP[[#This Row],[End_Date]], "M")</f>
        <v>5</v>
      </c>
      <c r="W5">
        <f>DATEDIF(EMP[[#This Row],[Start_Date]],EMP[[#This Row],[End_Date]], "D")</f>
        <v>183</v>
      </c>
      <c r="X5" s="2">
        <f>EDATE(EMP[[#This Row],[Start_Date]],4)</f>
        <v>45261</v>
      </c>
      <c r="Y5" s="2">
        <f>EDATE(EMP[[#This Row],[Start_Date]],5)</f>
        <v>45292</v>
      </c>
      <c r="Z5" s="2">
        <f>EOMONTH(EMP[[#This Row],[Start_Date]],2)</f>
        <v>45230</v>
      </c>
      <c r="AA5" s="2">
        <f>EOMONTH(EMP[[#This Row],[Start_Date]],3)</f>
        <v>45260</v>
      </c>
      <c r="AB5" s="2">
        <f>EOMONTH(EMP[[#This Row],[Start_Date]],4)</f>
        <v>45291</v>
      </c>
      <c r="AC5" s="2">
        <f>WORKDAY(EMP[[#This Row],[Start_Date]],4,$G$2:$G$21)</f>
        <v>45145</v>
      </c>
      <c r="AD5" s="2">
        <f>WORKDAY(EMP[[#This Row],[Start_Date]],10,G5:$G$21)</f>
        <v>45153</v>
      </c>
      <c r="AE5" s="2">
        <f>WORKDAY.INTL(EMP[[#This Row],[Start_Date]],5,)</f>
        <v>45146</v>
      </c>
      <c r="AF5" s="2">
        <f>WORKDAY.INTL(EMP[[#This Row],[Start_Date]],20,13,$G$2:$G$21)</f>
        <v>45162</v>
      </c>
      <c r="AG5" s="2">
        <f>WORKDAY(EMP[[#This Row],[Start_Date]],-20)</f>
        <v>45111</v>
      </c>
      <c r="AH5">
        <f>NETWORKDAYS(EMP[[#This Row],[Start_Date]],EMP[[#This Row],[End_Date]],{"26-01-2023","15-08-2023","26-01-2024","15-08-2024","26-01-2025","15-08-2025","26-01-2026","15-08-2026"})</f>
        <v>130</v>
      </c>
      <c r="AI5">
        <f>NETWORKDAYS(EMP[[#This Row],[Start_Date]],EMP[[#This Row],[End_Date]],$G$2:$G$21)</f>
        <v>128</v>
      </c>
      <c r="AJ5">
        <f>NETWORKDAYS(EMP[[#This Row],[Start_Date]],EMP[[#This Row],[End_Date]])</f>
        <v>132</v>
      </c>
      <c r="AK5">
        <f>NETWORKDAYS.INTL(EMP[[#This Row],[Start_Date]],EMP[[#This Row],[End_Date]],13,{"26-01-2023","15-08-2023","26-01-2024","15-08-2024","26-01-2025","15-08-2025","26-01-2026","15-08-2026"})</f>
        <v>156</v>
      </c>
      <c r="AL5">
        <f>NETWORKDAYS.INTL(EMP[[#This Row],[Start_Date]],EMP[[#This Row],[End_Date]],13,$G$2:$G$21)</f>
        <v>152</v>
      </c>
      <c r="AM5">
        <f>NETWORKDAYS.INTL(EMP[[#This Row],[Start_Date]],EMP[[#This Row],[End_Date]],13)</f>
        <v>157</v>
      </c>
    </row>
    <row r="6" spans="1:39" x14ac:dyDescent="0.25">
      <c r="A6" t="s">
        <v>14</v>
      </c>
      <c r="B6" s="6">
        <v>45231.416666666664</v>
      </c>
      <c r="C6" s="1">
        <v>45597.75</v>
      </c>
      <c r="D6" t="s">
        <v>15</v>
      </c>
      <c r="E6" t="s">
        <v>7</v>
      </c>
      <c r="G6" s="7">
        <v>45285</v>
      </c>
      <c r="I6">
        <f>YEAR(EMP[[#This Row],[Start_Date]])</f>
        <v>2023</v>
      </c>
      <c r="J6">
        <f>MONTH(EMP[[#This Row],[Start_Date]])</f>
        <v>11</v>
      </c>
      <c r="K6">
        <f>DAY(EMP[[#This Row],[Start_Date]])</f>
        <v>1</v>
      </c>
      <c r="L6">
        <f>HOUR(EMP[[#This Row],[Start_Date]])</f>
        <v>10</v>
      </c>
      <c r="M6">
        <f>MINUTE(EMP[[#This Row],[Start_Date]])</f>
        <v>0</v>
      </c>
      <c r="N6">
        <f>SECOND(EMP[[#This Row],[Start_Date]])</f>
        <v>0</v>
      </c>
      <c r="O6" s="2">
        <f t="shared" si="0"/>
        <v>45231</v>
      </c>
      <c r="P6" s="5">
        <f t="shared" si="1"/>
        <v>0.41666666666666669</v>
      </c>
      <c r="Q6">
        <f>WEEKNUM(EMP[[#This Row],[Start_Date]],11)</f>
        <v>45</v>
      </c>
      <c r="R6">
        <f>WEEKNUM(EMP[[#This Row],[Start_Date]],21)</f>
        <v>44</v>
      </c>
      <c r="S6">
        <f>_xlfn.ISOWEEKNUM(EMP[[#This Row],[Start_Date]])</f>
        <v>44</v>
      </c>
      <c r="T6">
        <f>_xlfn.DAYS(EMP[[#This Row],[End_Date]],EMP[[#This Row],[Start_Date]])</f>
        <v>366</v>
      </c>
      <c r="U6">
        <f>DATEDIF(EMP[[#This Row],[Start_Date]],EMP[[#This Row],[End_Date]], "Y")</f>
        <v>1</v>
      </c>
      <c r="V6">
        <f>DATEDIF(EMP[[#This Row],[Start_Date]],EMP[[#This Row],[End_Date]], "M")</f>
        <v>12</v>
      </c>
      <c r="W6">
        <f>DATEDIF(EMP[[#This Row],[Start_Date]],EMP[[#This Row],[End_Date]], "D")</f>
        <v>366</v>
      </c>
      <c r="X6" s="2">
        <f>EDATE(EMP[[#This Row],[Start_Date]],4)</f>
        <v>45352</v>
      </c>
      <c r="Y6" s="2">
        <f>EDATE(EMP[[#This Row],[Start_Date]],5)</f>
        <v>45383</v>
      </c>
      <c r="Z6" s="2">
        <f>EOMONTH(EMP[[#This Row],[Start_Date]],2)</f>
        <v>45322</v>
      </c>
      <c r="AA6" s="2">
        <f>EOMONTH(EMP[[#This Row],[Start_Date]],3)</f>
        <v>45351</v>
      </c>
      <c r="AB6" s="2">
        <f>EOMONTH(EMP[[#This Row],[Start_Date]],4)</f>
        <v>45382</v>
      </c>
      <c r="AC6" s="2">
        <f>WORKDAY(EMP[[#This Row],[Start_Date]],4,$G$2:$G$21)</f>
        <v>45237</v>
      </c>
      <c r="AD6" s="2">
        <f>WORKDAY(EMP[[#This Row],[Start_Date]],10,G6:$G$21)</f>
        <v>45245</v>
      </c>
      <c r="AE6" s="2">
        <f>WORKDAY.INTL(EMP[[#This Row],[Start_Date]],5,)</f>
        <v>45238</v>
      </c>
      <c r="AF6" s="2">
        <f>WORKDAY.INTL(EMP[[#This Row],[Start_Date]],20,13,$G$2:$G$21)</f>
        <v>45255</v>
      </c>
      <c r="AG6" s="2">
        <f>WORKDAY(EMP[[#This Row],[Start_Date]],-20)</f>
        <v>45203</v>
      </c>
      <c r="AH6">
        <f>NETWORKDAYS(EMP[[#This Row],[Start_Date]],EMP[[#This Row],[End_Date]],{"26-01-2023","15-08-2023","26-01-2024","15-08-2024","26-01-2025","15-08-2025","26-01-2026","15-08-2026"})</f>
        <v>261</v>
      </c>
      <c r="AI6">
        <f>NETWORKDAYS(EMP[[#This Row],[Start_Date]],EMP[[#This Row],[End_Date]],$G$2:$G$21)</f>
        <v>257</v>
      </c>
      <c r="AJ6">
        <f>NETWORKDAYS(EMP[[#This Row],[Start_Date]],EMP[[#This Row],[End_Date]])</f>
        <v>263</v>
      </c>
      <c r="AK6">
        <f>NETWORKDAYS.INTL(EMP[[#This Row],[Start_Date]],EMP[[#This Row],[End_Date]],13,{"26-01-2023","15-08-2023","26-01-2024","15-08-2024","26-01-2025","15-08-2025","26-01-2026","15-08-2026"})</f>
        <v>313</v>
      </c>
      <c r="AL6">
        <f>NETWORKDAYS.INTL(EMP[[#This Row],[Start_Date]],EMP[[#This Row],[End_Date]],13,$G$2:$G$21)</f>
        <v>306</v>
      </c>
      <c r="AM6">
        <f>NETWORKDAYS.INTL(EMP[[#This Row],[Start_Date]],EMP[[#This Row],[End_Date]],13)</f>
        <v>315</v>
      </c>
    </row>
    <row r="7" spans="1:39" x14ac:dyDescent="0.25">
      <c r="A7" t="s">
        <v>16</v>
      </c>
      <c r="B7" s="6">
        <v>45301.364583333336</v>
      </c>
      <c r="C7" s="1">
        <v>45488.71875</v>
      </c>
      <c r="D7" t="s">
        <v>17</v>
      </c>
      <c r="E7" t="s">
        <v>7</v>
      </c>
      <c r="G7" s="7">
        <v>45305</v>
      </c>
      <c r="I7">
        <f>YEAR(EMP[[#This Row],[Start_Date]])</f>
        <v>2024</v>
      </c>
      <c r="J7">
        <f>MONTH(EMP[[#This Row],[Start_Date]])</f>
        <v>1</v>
      </c>
      <c r="K7">
        <f>DAY(EMP[[#This Row],[Start_Date]])</f>
        <v>10</v>
      </c>
      <c r="L7">
        <f>HOUR(EMP[[#This Row],[Start_Date]])</f>
        <v>8</v>
      </c>
      <c r="M7">
        <f>MINUTE(EMP[[#This Row],[Start_Date]])</f>
        <v>45</v>
      </c>
      <c r="N7">
        <f>SECOND(EMP[[#This Row],[Start_Date]])</f>
        <v>0</v>
      </c>
      <c r="O7" s="2">
        <f t="shared" si="0"/>
        <v>45301</v>
      </c>
      <c r="P7" s="5">
        <f t="shared" si="1"/>
        <v>0.36458333333333331</v>
      </c>
      <c r="Q7">
        <f>WEEKNUM(EMP[[#This Row],[Start_Date]],11)</f>
        <v>2</v>
      </c>
      <c r="R7">
        <f>WEEKNUM(EMP[[#This Row],[Start_Date]],21)</f>
        <v>2</v>
      </c>
      <c r="S7">
        <f>_xlfn.ISOWEEKNUM(EMP[[#This Row],[Start_Date]])</f>
        <v>2</v>
      </c>
      <c r="T7">
        <f>_xlfn.DAYS(EMP[[#This Row],[End_Date]],EMP[[#This Row],[Start_Date]])</f>
        <v>187</v>
      </c>
      <c r="U7">
        <f>DATEDIF(EMP[[#This Row],[Start_Date]],EMP[[#This Row],[End_Date]], "Y")</f>
        <v>0</v>
      </c>
      <c r="V7">
        <f>DATEDIF(EMP[[#This Row],[Start_Date]],EMP[[#This Row],[End_Date]], "M")</f>
        <v>6</v>
      </c>
      <c r="W7">
        <f>DATEDIF(EMP[[#This Row],[Start_Date]],EMP[[#This Row],[End_Date]], "D")</f>
        <v>187</v>
      </c>
      <c r="X7" s="2">
        <f>EDATE(EMP[[#This Row],[Start_Date]],4)</f>
        <v>45422</v>
      </c>
      <c r="Y7" s="2">
        <f>EDATE(EMP[[#This Row],[Start_Date]],5)</f>
        <v>45453</v>
      </c>
      <c r="Z7" s="2">
        <f>EOMONTH(EMP[[#This Row],[Start_Date]],2)</f>
        <v>45382</v>
      </c>
      <c r="AA7" s="2">
        <f>EOMONTH(EMP[[#This Row],[Start_Date]],3)</f>
        <v>45412</v>
      </c>
      <c r="AB7" s="2">
        <f>EOMONTH(EMP[[#This Row],[Start_Date]],4)</f>
        <v>45443</v>
      </c>
      <c r="AC7" s="2">
        <f>WORKDAY(EMP[[#This Row],[Start_Date]],4,$G$2:$G$21)</f>
        <v>45307</v>
      </c>
      <c r="AD7" s="2">
        <f>WORKDAY(EMP[[#This Row],[Start_Date]],10,G7:$G$21)</f>
        <v>45315</v>
      </c>
      <c r="AE7" s="2">
        <f>WORKDAY.INTL(EMP[[#This Row],[Start_Date]],5,)</f>
        <v>45308</v>
      </c>
      <c r="AF7" s="2">
        <f>WORKDAY.INTL(EMP[[#This Row],[Start_Date]],20,13,$G$2:$G$21)</f>
        <v>45326</v>
      </c>
      <c r="AG7" s="2">
        <f>WORKDAY(EMP[[#This Row],[Start_Date]],-20)</f>
        <v>45273</v>
      </c>
      <c r="AH7">
        <f>NETWORKDAYS(EMP[[#This Row],[Start_Date]],EMP[[#This Row],[End_Date]],{"26-01-2023","15-08-2023","26-01-2024","15-08-2024","26-01-2025","15-08-2025","26-01-2026","15-08-2026"})</f>
        <v>133</v>
      </c>
      <c r="AI7">
        <f>NETWORKDAYS(EMP[[#This Row],[Start_Date]],EMP[[#This Row],[End_Date]],$G$2:$G$21)</f>
        <v>131</v>
      </c>
      <c r="AJ7">
        <f>NETWORKDAYS(EMP[[#This Row],[Start_Date]],EMP[[#This Row],[End_Date]])</f>
        <v>134</v>
      </c>
      <c r="AK7">
        <f>NETWORKDAYS.INTL(EMP[[#This Row],[Start_Date]],EMP[[#This Row],[End_Date]],13,{"26-01-2023","15-08-2023","26-01-2024","15-08-2024","26-01-2025","15-08-2025","26-01-2026","15-08-2026"})</f>
        <v>161</v>
      </c>
      <c r="AL7">
        <f>NETWORKDAYS.INTL(EMP[[#This Row],[Start_Date]],EMP[[#This Row],[End_Date]],13,$G$2:$G$21)</f>
        <v>158</v>
      </c>
      <c r="AM7">
        <f>NETWORKDAYS.INTL(EMP[[#This Row],[Start_Date]],EMP[[#This Row],[End_Date]],13)</f>
        <v>162</v>
      </c>
    </row>
    <row r="8" spans="1:39" x14ac:dyDescent="0.25">
      <c r="A8" t="s">
        <v>18</v>
      </c>
      <c r="B8" s="6">
        <v>45337.395833333336</v>
      </c>
      <c r="C8" s="1">
        <v>45657.697916666664</v>
      </c>
      <c r="D8" t="s">
        <v>19</v>
      </c>
      <c r="E8" t="s">
        <v>20</v>
      </c>
      <c r="G8" s="7">
        <v>45317</v>
      </c>
      <c r="I8">
        <f>YEAR(EMP[[#This Row],[Start_Date]])</f>
        <v>2024</v>
      </c>
      <c r="J8">
        <f>MONTH(EMP[[#This Row],[Start_Date]])</f>
        <v>2</v>
      </c>
      <c r="K8">
        <f>DAY(EMP[[#This Row],[Start_Date]])</f>
        <v>15</v>
      </c>
      <c r="L8">
        <f>HOUR(EMP[[#This Row],[Start_Date]])</f>
        <v>9</v>
      </c>
      <c r="M8">
        <f>MINUTE(EMP[[#This Row],[Start_Date]])</f>
        <v>30</v>
      </c>
      <c r="N8">
        <f>SECOND(EMP[[#This Row],[Start_Date]])</f>
        <v>0</v>
      </c>
      <c r="O8" s="2">
        <f t="shared" si="0"/>
        <v>45337</v>
      </c>
      <c r="P8" s="5">
        <f t="shared" si="1"/>
        <v>0.39583333333333331</v>
      </c>
      <c r="Q8">
        <f>WEEKNUM(EMP[[#This Row],[Start_Date]],11)</f>
        <v>7</v>
      </c>
      <c r="R8">
        <f>WEEKNUM(EMP[[#This Row],[Start_Date]],21)</f>
        <v>7</v>
      </c>
      <c r="S8">
        <f>_xlfn.ISOWEEKNUM(EMP[[#This Row],[Start_Date]])</f>
        <v>7</v>
      </c>
      <c r="T8">
        <f>_xlfn.DAYS(EMP[[#This Row],[End_Date]],EMP[[#This Row],[Start_Date]])</f>
        <v>320</v>
      </c>
      <c r="U8">
        <f>DATEDIF(EMP[[#This Row],[Start_Date]],EMP[[#This Row],[End_Date]], "Y")</f>
        <v>0</v>
      </c>
      <c r="V8">
        <f>DATEDIF(EMP[[#This Row],[Start_Date]],EMP[[#This Row],[End_Date]], "M")</f>
        <v>10</v>
      </c>
      <c r="W8">
        <f>DATEDIF(EMP[[#This Row],[Start_Date]],EMP[[#This Row],[End_Date]], "D")</f>
        <v>320</v>
      </c>
      <c r="X8" s="2">
        <f>EDATE(EMP[[#This Row],[Start_Date]],4)</f>
        <v>45458</v>
      </c>
      <c r="Y8" s="2">
        <f>EDATE(EMP[[#This Row],[Start_Date]],5)</f>
        <v>45488</v>
      </c>
      <c r="Z8" s="2">
        <f>EOMONTH(EMP[[#This Row],[Start_Date]],2)</f>
        <v>45412</v>
      </c>
      <c r="AA8" s="2">
        <f>EOMONTH(EMP[[#This Row],[Start_Date]],3)</f>
        <v>45443</v>
      </c>
      <c r="AB8" s="2">
        <f>EOMONTH(EMP[[#This Row],[Start_Date]],4)</f>
        <v>45473</v>
      </c>
      <c r="AC8" s="2">
        <f>WORKDAY(EMP[[#This Row],[Start_Date]],4,$G$2:$G$21)</f>
        <v>45343</v>
      </c>
      <c r="AD8" s="2">
        <f>WORKDAY(EMP[[#This Row],[Start_Date]],10,G8:$G$21)</f>
        <v>45351</v>
      </c>
      <c r="AE8" s="2">
        <f>WORKDAY.INTL(EMP[[#This Row],[Start_Date]],5,)</f>
        <v>45344</v>
      </c>
      <c r="AF8" s="2">
        <f>WORKDAY.INTL(EMP[[#This Row],[Start_Date]],20,13,$G$2:$G$21)</f>
        <v>45361</v>
      </c>
      <c r="AG8" s="2">
        <f>WORKDAY(EMP[[#This Row],[Start_Date]],-20)</f>
        <v>45309</v>
      </c>
      <c r="AH8">
        <f>NETWORKDAYS(EMP[[#This Row],[Start_Date]],EMP[[#This Row],[End_Date]],{"26-01-2023","15-08-2023","26-01-2024","15-08-2024","26-01-2025","15-08-2025","26-01-2026","15-08-2026"})</f>
        <v>228</v>
      </c>
      <c r="AI8">
        <f>NETWORKDAYS(EMP[[#This Row],[Start_Date]],EMP[[#This Row],[End_Date]],$G$2:$G$21)</f>
        <v>225</v>
      </c>
      <c r="AJ8">
        <f>NETWORKDAYS(EMP[[#This Row],[Start_Date]],EMP[[#This Row],[End_Date]])</f>
        <v>229</v>
      </c>
      <c r="AK8">
        <f>NETWORKDAYS.INTL(EMP[[#This Row],[Start_Date]],EMP[[#This Row],[End_Date]],13,{"26-01-2023","15-08-2023","26-01-2024","15-08-2024","26-01-2025","15-08-2025","26-01-2026","15-08-2026"})</f>
        <v>274</v>
      </c>
      <c r="AL8">
        <f>NETWORKDAYS.INTL(EMP[[#This Row],[Start_Date]],EMP[[#This Row],[End_Date]],13,$G$2:$G$21)</f>
        <v>270</v>
      </c>
      <c r="AM8">
        <f>NETWORKDAYS.INTL(EMP[[#This Row],[Start_Date]],EMP[[#This Row],[End_Date]],13)</f>
        <v>275</v>
      </c>
    </row>
    <row r="9" spans="1:39" x14ac:dyDescent="0.25">
      <c r="A9" t="s">
        <v>21</v>
      </c>
      <c r="B9" s="6">
        <v>45383.333333333336</v>
      </c>
      <c r="C9" s="1">
        <v>45747.708333333336</v>
      </c>
      <c r="D9" t="s">
        <v>22</v>
      </c>
      <c r="E9" t="s">
        <v>20</v>
      </c>
      <c r="G9" s="7">
        <v>45359</v>
      </c>
      <c r="I9">
        <f>YEAR(EMP[[#This Row],[Start_Date]])</f>
        <v>2024</v>
      </c>
      <c r="J9">
        <f>MONTH(EMP[[#This Row],[Start_Date]])</f>
        <v>4</v>
      </c>
      <c r="K9">
        <f>DAY(EMP[[#This Row],[Start_Date]])</f>
        <v>1</v>
      </c>
      <c r="L9">
        <f>HOUR(EMP[[#This Row],[Start_Date]])</f>
        <v>8</v>
      </c>
      <c r="M9">
        <f>MINUTE(EMP[[#This Row],[Start_Date]])</f>
        <v>0</v>
      </c>
      <c r="N9">
        <f>SECOND(EMP[[#This Row],[Start_Date]])</f>
        <v>0</v>
      </c>
      <c r="O9" s="2">
        <f t="shared" si="0"/>
        <v>45383</v>
      </c>
      <c r="P9" s="5">
        <f t="shared" si="1"/>
        <v>0.33333333333333331</v>
      </c>
      <c r="Q9">
        <f>WEEKNUM(EMP[[#This Row],[Start_Date]],11)</f>
        <v>14</v>
      </c>
      <c r="R9">
        <f>WEEKNUM(EMP[[#This Row],[Start_Date]],21)</f>
        <v>14</v>
      </c>
      <c r="S9">
        <f>_xlfn.ISOWEEKNUM(EMP[[#This Row],[Start_Date]])</f>
        <v>14</v>
      </c>
      <c r="T9">
        <f>_xlfn.DAYS(EMP[[#This Row],[End_Date]],EMP[[#This Row],[Start_Date]])</f>
        <v>364</v>
      </c>
      <c r="U9">
        <f>DATEDIF(EMP[[#This Row],[Start_Date]],EMP[[#This Row],[End_Date]], "Y")</f>
        <v>0</v>
      </c>
      <c r="V9">
        <f>DATEDIF(EMP[[#This Row],[Start_Date]],EMP[[#This Row],[End_Date]], "M")</f>
        <v>11</v>
      </c>
      <c r="W9">
        <f>DATEDIF(EMP[[#This Row],[Start_Date]],EMP[[#This Row],[End_Date]], "D")</f>
        <v>364</v>
      </c>
      <c r="X9" s="2">
        <f>EDATE(EMP[[#This Row],[Start_Date]],4)</f>
        <v>45505</v>
      </c>
      <c r="Y9" s="2">
        <f>EDATE(EMP[[#This Row],[Start_Date]],5)</f>
        <v>45536</v>
      </c>
      <c r="Z9" s="2">
        <f>EOMONTH(EMP[[#This Row],[Start_Date]],2)</f>
        <v>45473</v>
      </c>
      <c r="AA9" s="2">
        <f>EOMONTH(EMP[[#This Row],[Start_Date]],3)</f>
        <v>45504</v>
      </c>
      <c r="AB9" s="2">
        <f>EOMONTH(EMP[[#This Row],[Start_Date]],4)</f>
        <v>45535</v>
      </c>
      <c r="AC9" s="2">
        <f>WORKDAY(EMP[[#This Row],[Start_Date]],4,$G$2:$G$21)</f>
        <v>45387</v>
      </c>
      <c r="AD9" s="2">
        <f>WORKDAY(EMP[[#This Row],[Start_Date]],10,G9:$G$21)</f>
        <v>45397</v>
      </c>
      <c r="AE9" s="2">
        <f>WORKDAY.INTL(EMP[[#This Row],[Start_Date]],5,)</f>
        <v>45390</v>
      </c>
      <c r="AF9" s="2">
        <f>WORKDAY.INTL(EMP[[#This Row],[Start_Date]],20,13,$G$2:$G$21)</f>
        <v>45407</v>
      </c>
      <c r="AG9" s="2">
        <f>WORKDAY(EMP[[#This Row],[Start_Date]],-20)</f>
        <v>45355</v>
      </c>
      <c r="AH9">
        <f>NETWORKDAYS(EMP[[#This Row],[Start_Date]],EMP[[#This Row],[End_Date]],{"26-01-2023","15-08-2023","26-01-2024","15-08-2024","26-01-2025","15-08-2025","26-01-2026","15-08-2026"})</f>
        <v>260</v>
      </c>
      <c r="AI9">
        <f>NETWORKDAYS(EMP[[#This Row],[Start_Date]],EMP[[#This Row],[End_Date]],$G$2:$G$21)</f>
        <v>259</v>
      </c>
      <c r="AJ9">
        <f>NETWORKDAYS(EMP[[#This Row],[Start_Date]],EMP[[#This Row],[End_Date]])</f>
        <v>261</v>
      </c>
      <c r="AK9">
        <f>NETWORKDAYS.INTL(EMP[[#This Row],[Start_Date]],EMP[[#This Row],[End_Date]],13,{"26-01-2023","15-08-2023","26-01-2024","15-08-2024","26-01-2025","15-08-2025","26-01-2026","15-08-2026"})</f>
        <v>311</v>
      </c>
      <c r="AL9">
        <f>NETWORKDAYS.INTL(EMP[[#This Row],[Start_Date]],EMP[[#This Row],[End_Date]],13,$G$2:$G$21)</f>
        <v>309</v>
      </c>
      <c r="AM9">
        <f>NETWORKDAYS.INTL(EMP[[#This Row],[Start_Date]],EMP[[#This Row],[End_Date]],13)</f>
        <v>313</v>
      </c>
    </row>
    <row r="10" spans="1:39" x14ac:dyDescent="0.25">
      <c r="A10" t="s">
        <v>23</v>
      </c>
      <c r="B10" s="6">
        <v>45444.458333333336</v>
      </c>
      <c r="C10" s="1">
        <v>45672.791666666664</v>
      </c>
      <c r="D10" t="s">
        <v>24</v>
      </c>
      <c r="E10" t="s">
        <v>20</v>
      </c>
      <c r="G10" s="7">
        <v>45376</v>
      </c>
      <c r="I10">
        <f>YEAR(EMP[[#This Row],[Start_Date]])</f>
        <v>2024</v>
      </c>
      <c r="J10">
        <f>MONTH(EMP[[#This Row],[Start_Date]])</f>
        <v>6</v>
      </c>
      <c r="K10">
        <f>DAY(EMP[[#This Row],[Start_Date]])</f>
        <v>1</v>
      </c>
      <c r="L10">
        <f>HOUR(EMP[[#This Row],[Start_Date]])</f>
        <v>11</v>
      </c>
      <c r="M10">
        <f>MINUTE(EMP[[#This Row],[Start_Date]])</f>
        <v>0</v>
      </c>
      <c r="N10">
        <f>SECOND(EMP[[#This Row],[Start_Date]])</f>
        <v>0</v>
      </c>
      <c r="O10" s="2">
        <f t="shared" si="0"/>
        <v>45444</v>
      </c>
      <c r="P10" s="5">
        <f t="shared" si="1"/>
        <v>0.45833333333333331</v>
      </c>
      <c r="Q10">
        <f>WEEKNUM(EMP[[#This Row],[Start_Date]],11)</f>
        <v>22</v>
      </c>
      <c r="R10">
        <f>WEEKNUM(EMP[[#This Row],[Start_Date]],21)</f>
        <v>22</v>
      </c>
      <c r="S10">
        <f>_xlfn.ISOWEEKNUM(EMP[[#This Row],[Start_Date]])</f>
        <v>22</v>
      </c>
      <c r="T10">
        <f>_xlfn.DAYS(EMP[[#This Row],[End_Date]],EMP[[#This Row],[Start_Date]])</f>
        <v>228</v>
      </c>
      <c r="U10">
        <f>DATEDIF(EMP[[#This Row],[Start_Date]],EMP[[#This Row],[End_Date]], "Y")</f>
        <v>0</v>
      </c>
      <c r="V10">
        <f>DATEDIF(EMP[[#This Row],[Start_Date]],EMP[[#This Row],[End_Date]], "M")</f>
        <v>7</v>
      </c>
      <c r="W10">
        <f>DATEDIF(EMP[[#This Row],[Start_Date]],EMP[[#This Row],[End_Date]], "D")</f>
        <v>228</v>
      </c>
      <c r="X10" s="2">
        <f>EDATE(EMP[[#This Row],[Start_Date]],4)</f>
        <v>45566</v>
      </c>
      <c r="Y10" s="2">
        <f>EDATE(EMP[[#This Row],[Start_Date]],5)</f>
        <v>45597</v>
      </c>
      <c r="Z10" s="2">
        <f>EOMONTH(EMP[[#This Row],[Start_Date]],2)</f>
        <v>45535</v>
      </c>
      <c r="AA10" s="2">
        <f>EOMONTH(EMP[[#This Row],[Start_Date]],3)</f>
        <v>45565</v>
      </c>
      <c r="AB10" s="2">
        <f>EOMONTH(EMP[[#This Row],[Start_Date]],4)</f>
        <v>45596</v>
      </c>
      <c r="AC10" s="2">
        <f>WORKDAY(EMP[[#This Row],[Start_Date]],4,$G$2:$G$21)</f>
        <v>45449</v>
      </c>
      <c r="AD10" s="2">
        <f>WORKDAY(EMP[[#This Row],[Start_Date]],10,G10:$G$21)</f>
        <v>45457</v>
      </c>
      <c r="AE10" s="2">
        <f>WORKDAY.INTL(EMP[[#This Row],[Start_Date]],5,)</f>
        <v>45450</v>
      </c>
      <c r="AF10" s="2">
        <f>WORKDAY.INTL(EMP[[#This Row],[Start_Date]],20,13,$G$2:$G$21)</f>
        <v>45467</v>
      </c>
      <c r="AG10" s="2">
        <f>WORKDAY(EMP[[#This Row],[Start_Date]],-20)</f>
        <v>45418</v>
      </c>
      <c r="AH10">
        <f>NETWORKDAYS(EMP[[#This Row],[Start_Date]],EMP[[#This Row],[End_Date]],{"26-01-2023","15-08-2023","26-01-2024","15-08-2024","26-01-2025","15-08-2025","26-01-2026","15-08-2026"})</f>
        <v>162</v>
      </c>
      <c r="AI10">
        <f>NETWORKDAYS(EMP[[#This Row],[Start_Date]],EMP[[#This Row],[End_Date]],$G$2:$G$21)</f>
        <v>161</v>
      </c>
      <c r="AJ10">
        <f>NETWORKDAYS(EMP[[#This Row],[Start_Date]],EMP[[#This Row],[End_Date]])</f>
        <v>163</v>
      </c>
      <c r="AK10">
        <f>NETWORKDAYS.INTL(EMP[[#This Row],[Start_Date]],EMP[[#This Row],[End_Date]],13,{"26-01-2023","15-08-2023","26-01-2024","15-08-2024","26-01-2025","15-08-2025","26-01-2026","15-08-2026"})</f>
        <v>195</v>
      </c>
      <c r="AL10">
        <f>NETWORKDAYS.INTL(EMP[[#This Row],[Start_Date]],EMP[[#This Row],[End_Date]],13,$G$2:$G$21)</f>
        <v>193</v>
      </c>
      <c r="AM10">
        <f>NETWORKDAYS.INTL(EMP[[#This Row],[Start_Date]],EMP[[#This Row],[End_Date]],13)</f>
        <v>196</v>
      </c>
    </row>
    <row r="11" spans="1:39" x14ac:dyDescent="0.25">
      <c r="A11" t="s">
        <v>25</v>
      </c>
      <c r="B11" s="6">
        <v>45550.375</v>
      </c>
      <c r="C11" s="1">
        <v>45838.729166666664</v>
      </c>
      <c r="D11" t="s">
        <v>6</v>
      </c>
      <c r="E11" t="s">
        <v>20</v>
      </c>
      <c r="G11" s="7">
        <v>45519</v>
      </c>
      <c r="I11">
        <f>YEAR(EMP[[#This Row],[Start_Date]])</f>
        <v>2024</v>
      </c>
      <c r="J11">
        <f>MONTH(EMP[[#This Row],[Start_Date]])</f>
        <v>9</v>
      </c>
      <c r="K11">
        <f>DAY(EMP[[#This Row],[Start_Date]])</f>
        <v>15</v>
      </c>
      <c r="L11">
        <f>HOUR(EMP[[#This Row],[Start_Date]])</f>
        <v>9</v>
      </c>
      <c r="M11">
        <f>MINUTE(EMP[[#This Row],[Start_Date]])</f>
        <v>0</v>
      </c>
      <c r="N11">
        <f>SECOND(EMP[[#This Row],[Start_Date]])</f>
        <v>0</v>
      </c>
      <c r="O11" s="2">
        <f t="shared" si="0"/>
        <v>45550</v>
      </c>
      <c r="P11" s="5">
        <f t="shared" si="1"/>
        <v>0.375</v>
      </c>
      <c r="Q11">
        <f>WEEKNUM(EMP[[#This Row],[Start_Date]],11)</f>
        <v>37</v>
      </c>
      <c r="R11">
        <f>WEEKNUM(EMP[[#This Row],[Start_Date]],21)</f>
        <v>37</v>
      </c>
      <c r="S11">
        <f>_xlfn.ISOWEEKNUM(EMP[[#This Row],[Start_Date]])</f>
        <v>37</v>
      </c>
      <c r="T11">
        <f>_xlfn.DAYS(EMP[[#This Row],[End_Date]],EMP[[#This Row],[Start_Date]])</f>
        <v>288</v>
      </c>
      <c r="U11">
        <f>DATEDIF(EMP[[#This Row],[Start_Date]],EMP[[#This Row],[End_Date]], "Y")</f>
        <v>0</v>
      </c>
      <c r="V11">
        <f>DATEDIF(EMP[[#This Row],[Start_Date]],EMP[[#This Row],[End_Date]], "M")</f>
        <v>9</v>
      </c>
      <c r="W11">
        <f>DATEDIF(EMP[[#This Row],[Start_Date]],EMP[[#This Row],[End_Date]], "D")</f>
        <v>288</v>
      </c>
      <c r="X11" s="2">
        <f>EDATE(EMP[[#This Row],[Start_Date]],4)</f>
        <v>45672</v>
      </c>
      <c r="Y11" s="2">
        <f>EDATE(EMP[[#This Row],[Start_Date]],5)</f>
        <v>45703</v>
      </c>
      <c r="Z11" s="2">
        <f>EOMONTH(EMP[[#This Row],[Start_Date]],2)</f>
        <v>45626</v>
      </c>
      <c r="AA11" s="2">
        <f>EOMONTH(EMP[[#This Row],[Start_Date]],3)</f>
        <v>45657</v>
      </c>
      <c r="AB11" s="2">
        <f>EOMONTH(EMP[[#This Row],[Start_Date]],4)</f>
        <v>45688</v>
      </c>
      <c r="AC11" s="2">
        <f>WORKDAY(EMP[[#This Row],[Start_Date]],4,$G$2:$G$21)</f>
        <v>45554</v>
      </c>
      <c r="AD11" s="2">
        <f>WORKDAY(EMP[[#This Row],[Start_Date]],10,G11:$G$21)</f>
        <v>45562</v>
      </c>
      <c r="AE11" s="2">
        <f>WORKDAY.INTL(EMP[[#This Row],[Start_Date]],5,)</f>
        <v>45555</v>
      </c>
      <c r="AF11" s="2">
        <f>WORKDAY.INTL(EMP[[#This Row],[Start_Date]],20,13,$G$2:$G$21)</f>
        <v>45575</v>
      </c>
      <c r="AG11" s="2">
        <f>WORKDAY(EMP[[#This Row],[Start_Date]],-20)</f>
        <v>45523</v>
      </c>
      <c r="AH11">
        <f>NETWORKDAYS(EMP[[#This Row],[Start_Date]],EMP[[#This Row],[End_Date]],{"26-01-2023","15-08-2023","26-01-2024","15-08-2024","26-01-2025","15-08-2025","26-01-2026","15-08-2026"})</f>
        <v>206</v>
      </c>
      <c r="AI11">
        <f>NETWORKDAYS(EMP[[#This Row],[Start_Date]],EMP[[#This Row],[End_Date]],$G$2:$G$21)</f>
        <v>204</v>
      </c>
      <c r="AJ11">
        <f>NETWORKDAYS(EMP[[#This Row],[Start_Date]],EMP[[#This Row],[End_Date]])</f>
        <v>206</v>
      </c>
      <c r="AK11">
        <f>NETWORKDAYS.INTL(EMP[[#This Row],[Start_Date]],EMP[[#This Row],[End_Date]],13,{"26-01-2023","15-08-2023","26-01-2024","15-08-2024","26-01-2025","15-08-2025","26-01-2026","15-08-2026"})</f>
        <v>247</v>
      </c>
      <c r="AL11">
        <f>NETWORKDAYS.INTL(EMP[[#This Row],[Start_Date]],EMP[[#This Row],[End_Date]],13,$G$2:$G$21)</f>
        <v>244</v>
      </c>
      <c r="AM11">
        <f>NETWORKDAYS.INTL(EMP[[#This Row],[Start_Date]],EMP[[#This Row],[End_Date]],13)</f>
        <v>248</v>
      </c>
    </row>
    <row r="12" spans="1:39" x14ac:dyDescent="0.25">
      <c r="A12" t="s">
        <v>26</v>
      </c>
      <c r="B12" s="6">
        <v>45662.354166666664</v>
      </c>
      <c r="C12" s="1">
        <v>46011.6875</v>
      </c>
      <c r="D12" t="s">
        <v>9</v>
      </c>
      <c r="E12" t="s">
        <v>20</v>
      </c>
      <c r="G12" s="7">
        <v>45567</v>
      </c>
      <c r="I12">
        <f>YEAR(EMP[[#This Row],[Start_Date]])</f>
        <v>2025</v>
      </c>
      <c r="J12">
        <f>MONTH(EMP[[#This Row],[Start_Date]])</f>
        <v>1</v>
      </c>
      <c r="K12">
        <f>DAY(EMP[[#This Row],[Start_Date]])</f>
        <v>5</v>
      </c>
      <c r="L12">
        <f>HOUR(EMP[[#This Row],[Start_Date]])</f>
        <v>8</v>
      </c>
      <c r="M12">
        <f>MINUTE(EMP[[#This Row],[Start_Date]])</f>
        <v>30</v>
      </c>
      <c r="N12">
        <f>SECOND(EMP[[#This Row],[Start_Date]])</f>
        <v>0</v>
      </c>
      <c r="O12" s="2">
        <f t="shared" si="0"/>
        <v>45662</v>
      </c>
      <c r="P12" s="5">
        <f t="shared" si="1"/>
        <v>0.35416666666666669</v>
      </c>
      <c r="Q12">
        <f>WEEKNUM(EMP[[#This Row],[Start_Date]],11)</f>
        <v>1</v>
      </c>
      <c r="R12">
        <f>WEEKNUM(EMP[[#This Row],[Start_Date]],21)</f>
        <v>1</v>
      </c>
      <c r="S12">
        <f>_xlfn.ISOWEEKNUM(EMP[[#This Row],[Start_Date]])</f>
        <v>1</v>
      </c>
      <c r="T12">
        <f>_xlfn.DAYS(EMP[[#This Row],[End_Date]],EMP[[#This Row],[Start_Date]])</f>
        <v>349</v>
      </c>
      <c r="U12">
        <f>DATEDIF(EMP[[#This Row],[Start_Date]],EMP[[#This Row],[End_Date]], "Y")</f>
        <v>0</v>
      </c>
      <c r="V12">
        <f>DATEDIF(EMP[[#This Row],[Start_Date]],EMP[[#This Row],[End_Date]], "M")</f>
        <v>11</v>
      </c>
      <c r="W12">
        <f>DATEDIF(EMP[[#This Row],[Start_Date]],EMP[[#This Row],[End_Date]], "D")</f>
        <v>349</v>
      </c>
      <c r="X12" s="2">
        <f>EDATE(EMP[[#This Row],[Start_Date]],4)</f>
        <v>45782</v>
      </c>
      <c r="Y12" s="2">
        <f>EDATE(EMP[[#This Row],[Start_Date]],5)</f>
        <v>45813</v>
      </c>
      <c r="Z12" s="2">
        <f>EOMONTH(EMP[[#This Row],[Start_Date]],2)</f>
        <v>45747</v>
      </c>
      <c r="AA12" s="2">
        <f>EOMONTH(EMP[[#This Row],[Start_Date]],3)</f>
        <v>45777</v>
      </c>
      <c r="AB12" s="2">
        <f>EOMONTH(EMP[[#This Row],[Start_Date]],4)</f>
        <v>45808</v>
      </c>
      <c r="AC12" s="2">
        <f>WORKDAY(EMP[[#This Row],[Start_Date]],4,$G$2:$G$21)</f>
        <v>45666</v>
      </c>
      <c r="AD12" s="2">
        <f>WORKDAY(EMP[[#This Row],[Start_Date]],10,G12:$G$21)</f>
        <v>45674</v>
      </c>
      <c r="AE12" s="2">
        <f>WORKDAY.INTL(EMP[[#This Row],[Start_Date]],5,)</f>
        <v>45667</v>
      </c>
      <c r="AF12" s="2">
        <f>WORKDAY.INTL(EMP[[#This Row],[Start_Date]],20,13,$G$2:$G$21)</f>
        <v>45687</v>
      </c>
      <c r="AG12" s="2">
        <f>WORKDAY(EMP[[#This Row],[Start_Date]],-20)</f>
        <v>45635</v>
      </c>
      <c r="AH12">
        <f>NETWORKDAYS(EMP[[#This Row],[Start_Date]],EMP[[#This Row],[End_Date]],{"26-01-2023","15-08-2023","26-01-2024","15-08-2024","26-01-2025","15-08-2025","26-01-2026","15-08-2026"})</f>
        <v>249</v>
      </c>
      <c r="AI12">
        <f>NETWORKDAYS(EMP[[#This Row],[Start_Date]],EMP[[#This Row],[End_Date]],$G$2:$G$21)</f>
        <v>246</v>
      </c>
      <c r="AJ12">
        <f>NETWORKDAYS(EMP[[#This Row],[Start_Date]],EMP[[#This Row],[End_Date]])</f>
        <v>250</v>
      </c>
      <c r="AK12">
        <f>NETWORKDAYS.INTL(EMP[[#This Row],[Start_Date]],EMP[[#This Row],[End_Date]],13,{"26-01-2023","15-08-2023","26-01-2024","15-08-2024","26-01-2025","15-08-2025","26-01-2026","15-08-2026"})</f>
        <v>298</v>
      </c>
      <c r="AL12">
        <f>NETWORKDAYS.INTL(EMP[[#This Row],[Start_Date]],EMP[[#This Row],[End_Date]],13,$G$2:$G$21)</f>
        <v>295</v>
      </c>
      <c r="AM12">
        <f>NETWORKDAYS.INTL(EMP[[#This Row],[Start_Date]],EMP[[#This Row],[End_Date]],13)</f>
        <v>300</v>
      </c>
    </row>
    <row r="13" spans="1:39" x14ac:dyDescent="0.25">
      <c r="A13" t="s">
        <v>27</v>
      </c>
      <c r="B13" s="6">
        <v>45689.4375</v>
      </c>
      <c r="C13" s="1">
        <v>45900.770833333336</v>
      </c>
      <c r="D13" t="s">
        <v>28</v>
      </c>
      <c r="E13" t="s">
        <v>20</v>
      </c>
      <c r="G13" s="7">
        <v>45577</v>
      </c>
      <c r="I13">
        <f>YEAR(EMP[[#This Row],[Start_Date]])</f>
        <v>2025</v>
      </c>
      <c r="J13">
        <f>MONTH(EMP[[#This Row],[Start_Date]])</f>
        <v>2</v>
      </c>
      <c r="K13">
        <f>DAY(EMP[[#This Row],[Start_Date]])</f>
        <v>1</v>
      </c>
      <c r="L13">
        <f>HOUR(EMP[[#This Row],[Start_Date]])</f>
        <v>10</v>
      </c>
      <c r="M13">
        <f>MINUTE(EMP[[#This Row],[Start_Date]])</f>
        <v>30</v>
      </c>
      <c r="N13">
        <f>SECOND(EMP[[#This Row],[Start_Date]])</f>
        <v>0</v>
      </c>
      <c r="O13" s="2">
        <f t="shared" si="0"/>
        <v>45689</v>
      </c>
      <c r="P13" s="5">
        <f t="shared" si="1"/>
        <v>0.4375</v>
      </c>
      <c r="Q13">
        <f>WEEKNUM(EMP[[#This Row],[Start_Date]],11)</f>
        <v>5</v>
      </c>
      <c r="R13">
        <f>WEEKNUM(EMP[[#This Row],[Start_Date]],21)</f>
        <v>5</v>
      </c>
      <c r="S13">
        <f>_xlfn.ISOWEEKNUM(EMP[[#This Row],[Start_Date]])</f>
        <v>5</v>
      </c>
      <c r="T13">
        <f>_xlfn.DAYS(EMP[[#This Row],[End_Date]],EMP[[#This Row],[Start_Date]])</f>
        <v>211</v>
      </c>
      <c r="U13">
        <f>DATEDIF(EMP[[#This Row],[Start_Date]],EMP[[#This Row],[End_Date]], "Y")</f>
        <v>0</v>
      </c>
      <c r="V13">
        <f>DATEDIF(EMP[[#This Row],[Start_Date]],EMP[[#This Row],[End_Date]], "M")</f>
        <v>6</v>
      </c>
      <c r="W13">
        <f>DATEDIF(EMP[[#This Row],[Start_Date]],EMP[[#This Row],[End_Date]], "D")</f>
        <v>211</v>
      </c>
      <c r="X13" s="2">
        <f>EDATE(EMP[[#This Row],[Start_Date]],4)</f>
        <v>45809</v>
      </c>
      <c r="Y13" s="2">
        <f>EDATE(EMP[[#This Row],[Start_Date]],5)</f>
        <v>45839</v>
      </c>
      <c r="Z13" s="2">
        <f>EOMONTH(EMP[[#This Row],[Start_Date]],2)</f>
        <v>45777</v>
      </c>
      <c r="AA13" s="2">
        <f>EOMONTH(EMP[[#This Row],[Start_Date]],3)</f>
        <v>45808</v>
      </c>
      <c r="AB13" s="2">
        <f>EOMONTH(EMP[[#This Row],[Start_Date]],4)</f>
        <v>45838</v>
      </c>
      <c r="AC13" s="2">
        <f>WORKDAY(EMP[[#This Row],[Start_Date]],4,$G$2:$G$21)</f>
        <v>45694</v>
      </c>
      <c r="AD13" s="2">
        <f>WORKDAY(EMP[[#This Row],[Start_Date]],10,G13:$G$21)</f>
        <v>45702</v>
      </c>
      <c r="AE13" s="2">
        <f>WORKDAY.INTL(EMP[[#This Row],[Start_Date]],5,)</f>
        <v>45695</v>
      </c>
      <c r="AF13" s="2">
        <f>WORKDAY.INTL(EMP[[#This Row],[Start_Date]],20,13,$G$2:$G$21)</f>
        <v>45712</v>
      </c>
      <c r="AG13" s="2">
        <f>WORKDAY(EMP[[#This Row],[Start_Date]],-20)</f>
        <v>45663</v>
      </c>
      <c r="AH13">
        <f>NETWORKDAYS(EMP[[#This Row],[Start_Date]],EMP[[#This Row],[End_Date]],{"26-01-2023","15-08-2023","26-01-2024","15-08-2024","26-01-2025","15-08-2025","26-01-2026","15-08-2026"})</f>
        <v>149</v>
      </c>
      <c r="AI13">
        <f>NETWORKDAYS(EMP[[#This Row],[Start_Date]],EMP[[#This Row],[End_Date]],$G$2:$G$21)</f>
        <v>147</v>
      </c>
      <c r="AJ13">
        <f>NETWORKDAYS(EMP[[#This Row],[Start_Date]],EMP[[#This Row],[End_Date]])</f>
        <v>150</v>
      </c>
      <c r="AK13">
        <f>NETWORKDAYS.INTL(EMP[[#This Row],[Start_Date]],EMP[[#This Row],[End_Date]],13,{"26-01-2023","15-08-2023","26-01-2024","15-08-2024","26-01-2025","15-08-2025","26-01-2026","15-08-2026"})</f>
        <v>181</v>
      </c>
      <c r="AL13">
        <f>NETWORKDAYS.INTL(EMP[[#This Row],[Start_Date]],EMP[[#This Row],[End_Date]],13,$G$2:$G$21)</f>
        <v>179</v>
      </c>
      <c r="AM13">
        <f>NETWORKDAYS.INTL(EMP[[#This Row],[Start_Date]],EMP[[#This Row],[End_Date]],13)</f>
        <v>182</v>
      </c>
    </row>
    <row r="14" spans="1:39" x14ac:dyDescent="0.25">
      <c r="A14" t="s">
        <v>29</v>
      </c>
      <c r="B14" s="6">
        <v>45762.322916666664</v>
      </c>
      <c r="C14" s="1">
        <v>46053.677083333336</v>
      </c>
      <c r="D14" t="s">
        <v>30</v>
      </c>
      <c r="E14" t="s">
        <v>20</v>
      </c>
      <c r="G14" s="7">
        <v>45683</v>
      </c>
      <c r="I14">
        <f>YEAR(EMP[[#This Row],[Start_Date]])</f>
        <v>2025</v>
      </c>
      <c r="J14">
        <f>MONTH(EMP[[#This Row],[Start_Date]])</f>
        <v>4</v>
      </c>
      <c r="K14">
        <f>DAY(EMP[[#This Row],[Start_Date]])</f>
        <v>15</v>
      </c>
      <c r="L14">
        <f>HOUR(EMP[[#This Row],[Start_Date]])</f>
        <v>7</v>
      </c>
      <c r="M14">
        <f>MINUTE(EMP[[#This Row],[Start_Date]])</f>
        <v>45</v>
      </c>
      <c r="N14">
        <f>SECOND(EMP[[#This Row],[Start_Date]])</f>
        <v>0</v>
      </c>
      <c r="O14" s="2">
        <f t="shared" si="0"/>
        <v>45762</v>
      </c>
      <c r="P14" s="5">
        <f t="shared" si="1"/>
        <v>0.32291666666666669</v>
      </c>
      <c r="Q14">
        <f>WEEKNUM(EMP[[#This Row],[Start_Date]],11)</f>
        <v>16</v>
      </c>
      <c r="R14">
        <f>WEEKNUM(EMP[[#This Row],[Start_Date]],21)</f>
        <v>16</v>
      </c>
      <c r="S14">
        <f>_xlfn.ISOWEEKNUM(EMP[[#This Row],[Start_Date]])</f>
        <v>16</v>
      </c>
      <c r="T14">
        <f>_xlfn.DAYS(EMP[[#This Row],[End_Date]],EMP[[#This Row],[Start_Date]])</f>
        <v>291</v>
      </c>
      <c r="U14">
        <f>DATEDIF(EMP[[#This Row],[Start_Date]],EMP[[#This Row],[End_Date]], "Y")</f>
        <v>0</v>
      </c>
      <c r="V14">
        <f>DATEDIF(EMP[[#This Row],[Start_Date]],EMP[[#This Row],[End_Date]], "M")</f>
        <v>9</v>
      </c>
      <c r="W14">
        <f>DATEDIF(EMP[[#This Row],[Start_Date]],EMP[[#This Row],[End_Date]], "D")</f>
        <v>291</v>
      </c>
      <c r="X14" s="2">
        <f>EDATE(EMP[[#This Row],[Start_Date]],4)</f>
        <v>45884</v>
      </c>
      <c r="Y14" s="2">
        <f>EDATE(EMP[[#This Row],[Start_Date]],5)</f>
        <v>45915</v>
      </c>
      <c r="Z14" s="2">
        <f>EOMONTH(EMP[[#This Row],[Start_Date]],2)</f>
        <v>45838</v>
      </c>
      <c r="AA14" s="2">
        <f>EOMONTH(EMP[[#This Row],[Start_Date]],3)</f>
        <v>45869</v>
      </c>
      <c r="AB14" s="2">
        <f>EOMONTH(EMP[[#This Row],[Start_Date]],4)</f>
        <v>45900</v>
      </c>
      <c r="AC14" s="2">
        <f>WORKDAY(EMP[[#This Row],[Start_Date]],4,$G$2:$G$21)</f>
        <v>45768</v>
      </c>
      <c r="AD14" s="2">
        <f>WORKDAY(EMP[[#This Row],[Start_Date]],10,G14:$G$21)</f>
        <v>45776</v>
      </c>
      <c r="AE14" s="2">
        <f>WORKDAY.INTL(EMP[[#This Row],[Start_Date]],5,)</f>
        <v>45769</v>
      </c>
      <c r="AF14" s="2">
        <f>WORKDAY.INTL(EMP[[#This Row],[Start_Date]],20,13,$G$2:$G$21)</f>
        <v>45785</v>
      </c>
      <c r="AG14" s="2">
        <f>WORKDAY(EMP[[#This Row],[Start_Date]],-20)</f>
        <v>45734</v>
      </c>
      <c r="AH14">
        <f>NETWORKDAYS(EMP[[#This Row],[Start_Date]],EMP[[#This Row],[End_Date]],{"26-01-2023","15-08-2023","26-01-2024","15-08-2024","26-01-2025","15-08-2025","26-01-2026","15-08-2026"})</f>
        <v>207</v>
      </c>
      <c r="AI14">
        <f>NETWORKDAYS(EMP[[#This Row],[Start_Date]],EMP[[#This Row],[End_Date]],$G$2:$G$21)</f>
        <v>206</v>
      </c>
      <c r="AJ14">
        <f>NETWORKDAYS(EMP[[#This Row],[Start_Date]],EMP[[#This Row],[End_Date]])</f>
        <v>209</v>
      </c>
      <c r="AK14">
        <f>NETWORKDAYS.INTL(EMP[[#This Row],[Start_Date]],EMP[[#This Row],[End_Date]],13,{"26-01-2023","15-08-2023","26-01-2024","15-08-2024","26-01-2025","15-08-2025","26-01-2026","15-08-2026"})</f>
        <v>248</v>
      </c>
      <c r="AL14">
        <f>NETWORKDAYS.INTL(EMP[[#This Row],[Start_Date]],EMP[[#This Row],[End_Date]],13,$G$2:$G$21)</f>
        <v>247</v>
      </c>
      <c r="AM14">
        <f>NETWORKDAYS.INTL(EMP[[#This Row],[Start_Date]],EMP[[#This Row],[End_Date]],13)</f>
        <v>250</v>
      </c>
    </row>
    <row r="15" spans="1:39" x14ac:dyDescent="0.25">
      <c r="A15" t="s">
        <v>31</v>
      </c>
      <c r="B15" s="6">
        <v>45809.375</v>
      </c>
      <c r="C15" s="1">
        <v>46173.708333333336</v>
      </c>
      <c r="D15" t="s">
        <v>19</v>
      </c>
      <c r="E15" t="s">
        <v>20</v>
      </c>
      <c r="G15" s="7">
        <v>45757</v>
      </c>
      <c r="I15">
        <f>YEAR(EMP[[#This Row],[Start_Date]])</f>
        <v>2025</v>
      </c>
      <c r="J15">
        <f>MONTH(EMP[[#This Row],[Start_Date]])</f>
        <v>6</v>
      </c>
      <c r="K15">
        <f>DAY(EMP[[#This Row],[Start_Date]])</f>
        <v>1</v>
      </c>
      <c r="L15">
        <f>HOUR(EMP[[#This Row],[Start_Date]])</f>
        <v>9</v>
      </c>
      <c r="M15">
        <f>MINUTE(EMP[[#This Row],[Start_Date]])</f>
        <v>0</v>
      </c>
      <c r="N15">
        <f>SECOND(EMP[[#This Row],[Start_Date]])</f>
        <v>0</v>
      </c>
      <c r="O15" s="2">
        <f t="shared" si="0"/>
        <v>45809</v>
      </c>
      <c r="P15" s="5">
        <f t="shared" si="1"/>
        <v>0.375</v>
      </c>
      <c r="Q15">
        <f>WEEKNUM(EMP[[#This Row],[Start_Date]],11)</f>
        <v>22</v>
      </c>
      <c r="R15">
        <f>WEEKNUM(EMP[[#This Row],[Start_Date]],21)</f>
        <v>22</v>
      </c>
      <c r="S15">
        <f>_xlfn.ISOWEEKNUM(EMP[[#This Row],[Start_Date]])</f>
        <v>22</v>
      </c>
      <c r="T15">
        <f>_xlfn.DAYS(EMP[[#This Row],[End_Date]],EMP[[#This Row],[Start_Date]])</f>
        <v>364</v>
      </c>
      <c r="U15">
        <f>DATEDIF(EMP[[#This Row],[Start_Date]],EMP[[#This Row],[End_Date]], "Y")</f>
        <v>0</v>
      </c>
      <c r="V15">
        <f>DATEDIF(EMP[[#This Row],[Start_Date]],EMP[[#This Row],[End_Date]], "M")</f>
        <v>11</v>
      </c>
      <c r="W15">
        <f>DATEDIF(EMP[[#This Row],[Start_Date]],EMP[[#This Row],[End_Date]], "D")</f>
        <v>364</v>
      </c>
      <c r="X15" s="2">
        <f>EDATE(EMP[[#This Row],[Start_Date]],4)</f>
        <v>45931</v>
      </c>
      <c r="Y15" s="2">
        <f>EDATE(EMP[[#This Row],[Start_Date]],5)</f>
        <v>45962</v>
      </c>
      <c r="Z15" s="2">
        <f>EOMONTH(EMP[[#This Row],[Start_Date]],2)</f>
        <v>45900</v>
      </c>
      <c r="AA15" s="2">
        <f>EOMONTH(EMP[[#This Row],[Start_Date]],3)</f>
        <v>45930</v>
      </c>
      <c r="AB15" s="2">
        <f>EOMONTH(EMP[[#This Row],[Start_Date]],4)</f>
        <v>45961</v>
      </c>
      <c r="AC15" s="2">
        <f>WORKDAY(EMP[[#This Row],[Start_Date]],4,$G$2:$G$21)</f>
        <v>45813</v>
      </c>
      <c r="AD15" s="2">
        <f>WORKDAY(EMP[[#This Row],[Start_Date]],10,G15:$G$21)</f>
        <v>45821</v>
      </c>
      <c r="AE15" s="2">
        <f>WORKDAY.INTL(EMP[[#This Row],[Start_Date]],5,)</f>
        <v>45814</v>
      </c>
      <c r="AF15" s="2">
        <f>WORKDAY.INTL(EMP[[#This Row],[Start_Date]],20,13,$G$2:$G$21)</f>
        <v>45833</v>
      </c>
      <c r="AG15" s="2">
        <f>WORKDAY(EMP[[#This Row],[Start_Date]],-20)</f>
        <v>45782</v>
      </c>
      <c r="AH15">
        <f>NETWORKDAYS(EMP[[#This Row],[Start_Date]],EMP[[#This Row],[End_Date]],{"26-01-2023","15-08-2023","26-01-2024","15-08-2024","26-01-2025","15-08-2025","26-01-2026","15-08-2026"})</f>
        <v>258</v>
      </c>
      <c r="AI15">
        <f>NETWORKDAYS(EMP[[#This Row],[Start_Date]],EMP[[#This Row],[End_Date]],$G$2:$G$21)</f>
        <v>257</v>
      </c>
      <c r="AJ15">
        <f>NETWORKDAYS(EMP[[#This Row],[Start_Date]],EMP[[#This Row],[End_Date]])</f>
        <v>260</v>
      </c>
      <c r="AK15">
        <f>NETWORKDAYS.INTL(EMP[[#This Row],[Start_Date]],EMP[[#This Row],[End_Date]],13,{"26-01-2023","15-08-2023","26-01-2024","15-08-2024","26-01-2025","15-08-2025","26-01-2026","15-08-2026"})</f>
        <v>311</v>
      </c>
      <c r="AL15">
        <f>NETWORKDAYS.INTL(EMP[[#This Row],[Start_Date]],EMP[[#This Row],[End_Date]],13,$G$2:$G$21)</f>
        <v>310</v>
      </c>
      <c r="AM15">
        <f>NETWORKDAYS.INTL(EMP[[#This Row],[Start_Date]],EMP[[#This Row],[End_Date]],13)</f>
        <v>313</v>
      </c>
    </row>
    <row r="16" spans="1:39" x14ac:dyDescent="0.25">
      <c r="A16" t="s">
        <v>32</v>
      </c>
      <c r="B16" s="6">
        <v>45879.34375</v>
      </c>
      <c r="C16" s="1">
        <v>46081.697916666664</v>
      </c>
      <c r="D16" t="s">
        <v>17</v>
      </c>
      <c r="E16" t="s">
        <v>20</v>
      </c>
      <c r="G16" s="7">
        <v>45884</v>
      </c>
      <c r="I16">
        <f>YEAR(EMP[[#This Row],[Start_Date]])</f>
        <v>2025</v>
      </c>
      <c r="J16">
        <f>MONTH(EMP[[#This Row],[Start_Date]])</f>
        <v>8</v>
      </c>
      <c r="K16">
        <f>DAY(EMP[[#This Row],[Start_Date]])</f>
        <v>10</v>
      </c>
      <c r="L16">
        <f>HOUR(EMP[[#This Row],[Start_Date]])</f>
        <v>8</v>
      </c>
      <c r="M16">
        <f>MINUTE(EMP[[#This Row],[Start_Date]])</f>
        <v>15</v>
      </c>
      <c r="N16">
        <f>SECOND(EMP[[#This Row],[Start_Date]])</f>
        <v>0</v>
      </c>
      <c r="O16" s="2">
        <f t="shared" si="0"/>
        <v>45879</v>
      </c>
      <c r="P16" s="5">
        <f t="shared" si="1"/>
        <v>0.34375</v>
      </c>
      <c r="Q16">
        <f>WEEKNUM(EMP[[#This Row],[Start_Date]],11)</f>
        <v>32</v>
      </c>
      <c r="R16">
        <f>WEEKNUM(EMP[[#This Row],[Start_Date]],21)</f>
        <v>32</v>
      </c>
      <c r="S16">
        <f>_xlfn.ISOWEEKNUM(EMP[[#This Row],[Start_Date]])</f>
        <v>32</v>
      </c>
      <c r="T16">
        <f>_xlfn.DAYS(EMP[[#This Row],[End_Date]],EMP[[#This Row],[Start_Date]])</f>
        <v>202</v>
      </c>
      <c r="U16">
        <f>DATEDIF(EMP[[#This Row],[Start_Date]],EMP[[#This Row],[End_Date]], "Y")</f>
        <v>0</v>
      </c>
      <c r="V16">
        <f>DATEDIF(EMP[[#This Row],[Start_Date]],EMP[[#This Row],[End_Date]], "M")</f>
        <v>6</v>
      </c>
      <c r="W16">
        <f>DATEDIF(EMP[[#This Row],[Start_Date]],EMP[[#This Row],[End_Date]], "D")</f>
        <v>202</v>
      </c>
      <c r="X16" s="2">
        <f>EDATE(EMP[[#This Row],[Start_Date]],4)</f>
        <v>46001</v>
      </c>
      <c r="Y16" s="2">
        <f>EDATE(EMP[[#This Row],[Start_Date]],5)</f>
        <v>46032</v>
      </c>
      <c r="Z16" s="2">
        <f>EOMONTH(EMP[[#This Row],[Start_Date]],2)</f>
        <v>45961</v>
      </c>
      <c r="AA16" s="2">
        <f>EOMONTH(EMP[[#This Row],[Start_Date]],3)</f>
        <v>45991</v>
      </c>
      <c r="AB16" s="2">
        <f>EOMONTH(EMP[[#This Row],[Start_Date]],4)</f>
        <v>46022</v>
      </c>
      <c r="AC16" s="2">
        <f>WORKDAY(EMP[[#This Row],[Start_Date]],4,$G$2:$G$21)</f>
        <v>45883</v>
      </c>
      <c r="AD16" s="2">
        <f>WORKDAY(EMP[[#This Row],[Start_Date]],10,G16:$G$21)</f>
        <v>45894</v>
      </c>
      <c r="AE16" s="2">
        <f>WORKDAY.INTL(EMP[[#This Row],[Start_Date]],5,)</f>
        <v>45884</v>
      </c>
      <c r="AF16" s="2">
        <f>WORKDAY.INTL(EMP[[#This Row],[Start_Date]],20,13,$G$2:$G$21)</f>
        <v>45905</v>
      </c>
      <c r="AG16" s="2">
        <f>WORKDAY(EMP[[#This Row],[Start_Date]],-20)</f>
        <v>45852</v>
      </c>
      <c r="AH16">
        <f>NETWORKDAYS(EMP[[#This Row],[Start_Date]],EMP[[#This Row],[End_Date]],{"26-01-2023","15-08-2023","26-01-2024","15-08-2024","26-01-2025","15-08-2025","26-01-2026","15-08-2026"})</f>
        <v>143</v>
      </c>
      <c r="AI16">
        <f>NETWORKDAYS(EMP[[#This Row],[Start_Date]],EMP[[#This Row],[End_Date]],$G$2:$G$21)</f>
        <v>142</v>
      </c>
      <c r="AJ16">
        <f>NETWORKDAYS(EMP[[#This Row],[Start_Date]],EMP[[#This Row],[End_Date]])</f>
        <v>145</v>
      </c>
      <c r="AK16">
        <f>NETWORKDAYS.INTL(EMP[[#This Row],[Start_Date]],EMP[[#This Row],[End_Date]],13,{"26-01-2023","15-08-2023","26-01-2024","15-08-2024","26-01-2025","15-08-2025","26-01-2026","15-08-2026"})</f>
        <v>172</v>
      </c>
      <c r="AL16">
        <f>NETWORKDAYS.INTL(EMP[[#This Row],[Start_Date]],EMP[[#This Row],[End_Date]],13,$G$2:$G$21)</f>
        <v>171</v>
      </c>
      <c r="AM16">
        <f>NETWORKDAYS.INTL(EMP[[#This Row],[Start_Date]],EMP[[#This Row],[End_Date]],13)</f>
        <v>174</v>
      </c>
    </row>
    <row r="17" spans="1:39" x14ac:dyDescent="0.25">
      <c r="A17" t="s">
        <v>33</v>
      </c>
      <c r="B17" s="6">
        <v>45931.395833333336</v>
      </c>
      <c r="C17" s="1">
        <v>46265.75</v>
      </c>
      <c r="D17" t="s">
        <v>22</v>
      </c>
      <c r="E17" t="s">
        <v>20</v>
      </c>
      <c r="G17" s="7">
        <v>45896</v>
      </c>
      <c r="I17">
        <f>YEAR(EMP[[#This Row],[Start_Date]])</f>
        <v>2025</v>
      </c>
      <c r="J17">
        <f>MONTH(EMP[[#This Row],[Start_Date]])</f>
        <v>10</v>
      </c>
      <c r="K17">
        <f>DAY(EMP[[#This Row],[Start_Date]])</f>
        <v>1</v>
      </c>
      <c r="L17">
        <f>HOUR(EMP[[#This Row],[Start_Date]])</f>
        <v>9</v>
      </c>
      <c r="M17">
        <f>MINUTE(EMP[[#This Row],[Start_Date]])</f>
        <v>30</v>
      </c>
      <c r="N17">
        <f>SECOND(EMP[[#This Row],[Start_Date]])</f>
        <v>0</v>
      </c>
      <c r="O17" s="2">
        <f t="shared" si="0"/>
        <v>45931</v>
      </c>
      <c r="P17" s="5">
        <f t="shared" si="1"/>
        <v>0.39583333333333331</v>
      </c>
      <c r="Q17">
        <f>WEEKNUM(EMP[[#This Row],[Start_Date]],11)</f>
        <v>40</v>
      </c>
      <c r="R17">
        <f>WEEKNUM(EMP[[#This Row],[Start_Date]],21)</f>
        <v>40</v>
      </c>
      <c r="S17">
        <f>_xlfn.ISOWEEKNUM(EMP[[#This Row],[Start_Date]])</f>
        <v>40</v>
      </c>
      <c r="T17">
        <f>_xlfn.DAYS(EMP[[#This Row],[End_Date]],EMP[[#This Row],[Start_Date]])</f>
        <v>334</v>
      </c>
      <c r="U17">
        <f>DATEDIF(EMP[[#This Row],[Start_Date]],EMP[[#This Row],[End_Date]], "Y")</f>
        <v>0</v>
      </c>
      <c r="V17">
        <f>DATEDIF(EMP[[#This Row],[Start_Date]],EMP[[#This Row],[End_Date]], "M")</f>
        <v>10</v>
      </c>
      <c r="W17">
        <f>DATEDIF(EMP[[#This Row],[Start_Date]],EMP[[#This Row],[End_Date]], "D")</f>
        <v>334</v>
      </c>
      <c r="X17" s="2">
        <f>EDATE(EMP[[#This Row],[Start_Date]],4)</f>
        <v>46054</v>
      </c>
      <c r="Y17" s="2">
        <f>EDATE(EMP[[#This Row],[Start_Date]],5)</f>
        <v>46082</v>
      </c>
      <c r="Z17" s="2">
        <f>EOMONTH(EMP[[#This Row],[Start_Date]],2)</f>
        <v>46022</v>
      </c>
      <c r="AA17" s="2">
        <f>EOMONTH(EMP[[#This Row],[Start_Date]],3)</f>
        <v>46053</v>
      </c>
      <c r="AB17" s="2">
        <f>EOMONTH(EMP[[#This Row],[Start_Date]],4)</f>
        <v>46081</v>
      </c>
      <c r="AC17" s="2">
        <f>WORKDAY(EMP[[#This Row],[Start_Date]],4,$G$2:$G$21)</f>
        <v>45938</v>
      </c>
      <c r="AD17" s="2">
        <f>WORKDAY(EMP[[#This Row],[Start_Date]],10,G17:$G$21)</f>
        <v>45946</v>
      </c>
      <c r="AE17" s="2">
        <f>WORKDAY.INTL(EMP[[#This Row],[Start_Date]],5,)</f>
        <v>45938</v>
      </c>
      <c r="AF17" s="2">
        <f>WORKDAY.INTL(EMP[[#This Row],[Start_Date]],20,13,$G$2:$G$21)</f>
        <v>45955</v>
      </c>
      <c r="AG17" s="2">
        <f>WORKDAY(EMP[[#This Row],[Start_Date]],-20)</f>
        <v>45903</v>
      </c>
      <c r="AH17">
        <f>NETWORKDAYS(EMP[[#This Row],[Start_Date]],EMP[[#This Row],[End_Date]],{"26-01-2023","15-08-2023","26-01-2024","15-08-2024","26-01-2025","15-08-2025","26-01-2026","15-08-2026"})</f>
        <v>238</v>
      </c>
      <c r="AI17">
        <f>NETWORKDAYS(EMP[[#This Row],[Start_Date]],EMP[[#This Row],[End_Date]],$G$2:$G$21)</f>
        <v>238</v>
      </c>
      <c r="AJ17">
        <f>NETWORKDAYS(EMP[[#This Row],[Start_Date]],EMP[[#This Row],[End_Date]])</f>
        <v>239</v>
      </c>
      <c r="AK17">
        <f>NETWORKDAYS.INTL(EMP[[#This Row],[Start_Date]],EMP[[#This Row],[End_Date]],13,{"26-01-2023","15-08-2023","26-01-2024","15-08-2024","26-01-2025","15-08-2025","26-01-2026","15-08-2026"})</f>
        <v>286</v>
      </c>
      <c r="AL17">
        <f>NETWORKDAYS.INTL(EMP[[#This Row],[Start_Date]],EMP[[#This Row],[End_Date]],13,$G$2:$G$21)</f>
        <v>286</v>
      </c>
      <c r="AM17">
        <f>NETWORKDAYS.INTL(EMP[[#This Row],[Start_Date]],EMP[[#This Row],[End_Date]],13)</f>
        <v>288</v>
      </c>
    </row>
    <row r="18" spans="1:39" x14ac:dyDescent="0.25">
      <c r="A18" t="s">
        <v>34</v>
      </c>
      <c r="B18" s="6">
        <v>46032.333333333336</v>
      </c>
      <c r="C18" s="1">
        <v>46203.708333333336</v>
      </c>
      <c r="D18" t="s">
        <v>15</v>
      </c>
      <c r="E18" t="s">
        <v>7</v>
      </c>
      <c r="G18" s="7">
        <v>45932</v>
      </c>
      <c r="I18">
        <f>YEAR(EMP[[#This Row],[Start_Date]])</f>
        <v>2026</v>
      </c>
      <c r="J18">
        <f>MONTH(EMP[[#This Row],[Start_Date]])</f>
        <v>1</v>
      </c>
      <c r="K18">
        <f>DAY(EMP[[#This Row],[Start_Date]])</f>
        <v>10</v>
      </c>
      <c r="L18">
        <f>HOUR(EMP[[#This Row],[Start_Date]])</f>
        <v>8</v>
      </c>
      <c r="M18">
        <f>MINUTE(EMP[[#This Row],[Start_Date]])</f>
        <v>0</v>
      </c>
      <c r="N18">
        <f>SECOND(EMP[[#This Row],[Start_Date]])</f>
        <v>0</v>
      </c>
      <c r="O18" s="2">
        <f t="shared" si="0"/>
        <v>46032</v>
      </c>
      <c r="P18" s="5">
        <f t="shared" si="1"/>
        <v>0.33333333333333331</v>
      </c>
      <c r="Q18">
        <f>WEEKNUM(EMP[[#This Row],[Start_Date]],11)</f>
        <v>2</v>
      </c>
      <c r="R18">
        <f>WEEKNUM(EMP[[#This Row],[Start_Date]],21)</f>
        <v>2</v>
      </c>
      <c r="S18">
        <f>_xlfn.ISOWEEKNUM(EMP[[#This Row],[Start_Date]])</f>
        <v>2</v>
      </c>
      <c r="T18">
        <f>_xlfn.DAYS(EMP[[#This Row],[End_Date]],EMP[[#This Row],[Start_Date]])</f>
        <v>171</v>
      </c>
      <c r="U18">
        <f>DATEDIF(EMP[[#This Row],[Start_Date]],EMP[[#This Row],[End_Date]], "Y")</f>
        <v>0</v>
      </c>
      <c r="V18">
        <f>DATEDIF(EMP[[#This Row],[Start_Date]],EMP[[#This Row],[End_Date]], "M")</f>
        <v>5</v>
      </c>
      <c r="W18">
        <f>DATEDIF(EMP[[#This Row],[Start_Date]],EMP[[#This Row],[End_Date]], "D")</f>
        <v>171</v>
      </c>
      <c r="X18" s="2">
        <f>EDATE(EMP[[#This Row],[Start_Date]],4)</f>
        <v>46152</v>
      </c>
      <c r="Y18" s="2">
        <f>EDATE(EMP[[#This Row],[Start_Date]],5)</f>
        <v>46183</v>
      </c>
      <c r="Z18" s="2">
        <f>EOMONTH(EMP[[#This Row],[Start_Date]],2)</f>
        <v>46112</v>
      </c>
      <c r="AA18" s="2">
        <f>EOMONTH(EMP[[#This Row],[Start_Date]],3)</f>
        <v>46142</v>
      </c>
      <c r="AB18" s="2">
        <f>EOMONTH(EMP[[#This Row],[Start_Date]],4)</f>
        <v>46173</v>
      </c>
      <c r="AC18" s="2">
        <f>WORKDAY(EMP[[#This Row],[Start_Date]],4,$G$2:$G$21)</f>
        <v>46037</v>
      </c>
      <c r="AD18" s="2">
        <f>WORKDAY(EMP[[#This Row],[Start_Date]],10,G18:$G$21)</f>
        <v>46045</v>
      </c>
      <c r="AE18" s="2">
        <f>WORKDAY.INTL(EMP[[#This Row],[Start_Date]],5,)</f>
        <v>46038</v>
      </c>
      <c r="AF18" s="2">
        <f>WORKDAY.INTL(EMP[[#This Row],[Start_Date]],20,13,$G$2:$G$21)</f>
        <v>46055</v>
      </c>
      <c r="AG18" s="2">
        <f>WORKDAY(EMP[[#This Row],[Start_Date]],-20)</f>
        <v>46006</v>
      </c>
      <c r="AH18">
        <f>NETWORKDAYS(EMP[[#This Row],[Start_Date]],EMP[[#This Row],[End_Date]],{"26-01-2023","15-08-2023","26-01-2024","15-08-2024","26-01-2025","15-08-2025","26-01-2026","15-08-2026"})</f>
        <v>121</v>
      </c>
      <c r="AI18">
        <f>NETWORKDAYS(EMP[[#This Row],[Start_Date]],EMP[[#This Row],[End_Date]],$G$2:$G$21)</f>
        <v>122</v>
      </c>
      <c r="AJ18">
        <f>NETWORKDAYS(EMP[[#This Row],[Start_Date]],EMP[[#This Row],[End_Date]])</f>
        <v>122</v>
      </c>
      <c r="AK18">
        <f>NETWORKDAYS.INTL(EMP[[#This Row],[Start_Date]],EMP[[#This Row],[End_Date]],13,{"26-01-2023","15-08-2023","26-01-2024","15-08-2024","26-01-2025","15-08-2025","26-01-2026","15-08-2026"})</f>
        <v>146</v>
      </c>
      <c r="AL18">
        <f>NETWORKDAYS.INTL(EMP[[#This Row],[Start_Date]],EMP[[#This Row],[End_Date]],13,$G$2:$G$21)</f>
        <v>147</v>
      </c>
      <c r="AM18">
        <f>NETWORKDAYS.INTL(EMP[[#This Row],[Start_Date]],EMP[[#This Row],[End_Date]],13)</f>
        <v>147</v>
      </c>
    </row>
    <row r="19" spans="1:39" x14ac:dyDescent="0.25">
      <c r="A19" t="s">
        <v>35</v>
      </c>
      <c r="B19" s="6">
        <v>46082.385416666664</v>
      </c>
      <c r="C19" s="1">
        <v>46356.739583333336</v>
      </c>
      <c r="D19" t="s">
        <v>11</v>
      </c>
      <c r="E19" t="s">
        <v>20</v>
      </c>
      <c r="G19" s="7">
        <v>46334</v>
      </c>
      <c r="I19">
        <f>YEAR(EMP[[#This Row],[Start_Date]])</f>
        <v>2026</v>
      </c>
      <c r="J19">
        <f>MONTH(EMP[[#This Row],[Start_Date]])</f>
        <v>3</v>
      </c>
      <c r="K19">
        <f>DAY(EMP[[#This Row],[Start_Date]])</f>
        <v>1</v>
      </c>
      <c r="L19">
        <f>HOUR(EMP[[#This Row],[Start_Date]])</f>
        <v>9</v>
      </c>
      <c r="M19">
        <f>MINUTE(EMP[[#This Row],[Start_Date]])</f>
        <v>15</v>
      </c>
      <c r="N19">
        <f>SECOND(EMP[[#This Row],[Start_Date]])</f>
        <v>0</v>
      </c>
      <c r="O19" s="2">
        <f t="shared" si="0"/>
        <v>46082</v>
      </c>
      <c r="P19" s="5">
        <f t="shared" si="1"/>
        <v>0.38541666666666669</v>
      </c>
      <c r="Q19">
        <f>WEEKNUM(EMP[[#This Row],[Start_Date]],11)</f>
        <v>9</v>
      </c>
      <c r="R19">
        <f>WEEKNUM(EMP[[#This Row],[Start_Date]],21)</f>
        <v>9</v>
      </c>
      <c r="S19">
        <f>_xlfn.ISOWEEKNUM(EMP[[#This Row],[Start_Date]])</f>
        <v>9</v>
      </c>
      <c r="T19">
        <f>_xlfn.DAYS(EMP[[#This Row],[End_Date]],EMP[[#This Row],[Start_Date]])</f>
        <v>274</v>
      </c>
      <c r="U19">
        <f>DATEDIF(EMP[[#This Row],[Start_Date]],EMP[[#This Row],[End_Date]], "Y")</f>
        <v>0</v>
      </c>
      <c r="V19">
        <f>DATEDIF(EMP[[#This Row],[Start_Date]],EMP[[#This Row],[End_Date]], "M")</f>
        <v>8</v>
      </c>
      <c r="W19">
        <f>DATEDIF(EMP[[#This Row],[Start_Date]],EMP[[#This Row],[End_Date]], "D")</f>
        <v>274</v>
      </c>
      <c r="X19" s="2">
        <f>EDATE(EMP[[#This Row],[Start_Date]],4)</f>
        <v>46204</v>
      </c>
      <c r="Y19" s="2">
        <f>EDATE(EMP[[#This Row],[Start_Date]],5)</f>
        <v>46235</v>
      </c>
      <c r="Z19" s="2">
        <f>EOMONTH(EMP[[#This Row],[Start_Date]],2)</f>
        <v>46173</v>
      </c>
      <c r="AA19" s="2">
        <f>EOMONTH(EMP[[#This Row],[Start_Date]],3)</f>
        <v>46203</v>
      </c>
      <c r="AB19" s="2">
        <f>EOMONTH(EMP[[#This Row],[Start_Date]],4)</f>
        <v>46234</v>
      </c>
      <c r="AC19" s="2">
        <f>WORKDAY(EMP[[#This Row],[Start_Date]],4,$G$2:$G$21)</f>
        <v>46086</v>
      </c>
      <c r="AD19" s="2">
        <f>WORKDAY(EMP[[#This Row],[Start_Date]],10,G19:$G$21)</f>
        <v>46094</v>
      </c>
      <c r="AE19" s="2">
        <f>WORKDAY.INTL(EMP[[#This Row],[Start_Date]],5,)</f>
        <v>46087</v>
      </c>
      <c r="AF19" s="2">
        <f>WORKDAY.INTL(EMP[[#This Row],[Start_Date]],20,13,$G$2:$G$21)</f>
        <v>46106</v>
      </c>
      <c r="AG19" s="2">
        <f>WORKDAY(EMP[[#This Row],[Start_Date]],-20)</f>
        <v>46055</v>
      </c>
      <c r="AH19">
        <f>NETWORKDAYS(EMP[[#This Row],[Start_Date]],EMP[[#This Row],[End_Date]],{"26-01-2023","15-08-2023","26-01-2024","15-08-2024","26-01-2025","15-08-2025","26-01-2026","15-08-2026"})</f>
        <v>196</v>
      </c>
      <c r="AI19">
        <f>NETWORKDAYS(EMP[[#This Row],[Start_Date]],EMP[[#This Row],[End_Date]],$G$2:$G$21)</f>
        <v>195</v>
      </c>
      <c r="AJ19">
        <f>NETWORKDAYS(EMP[[#This Row],[Start_Date]],EMP[[#This Row],[End_Date]])</f>
        <v>196</v>
      </c>
      <c r="AK19">
        <f>NETWORKDAYS.INTL(EMP[[#This Row],[Start_Date]],EMP[[#This Row],[End_Date]],13,{"26-01-2023","15-08-2023","26-01-2024","15-08-2024","26-01-2025","15-08-2025","26-01-2026","15-08-2026"})</f>
        <v>235</v>
      </c>
      <c r="AL19">
        <f>NETWORKDAYS.INTL(EMP[[#This Row],[Start_Date]],EMP[[#This Row],[End_Date]],13,$G$2:$G$21)</f>
        <v>233</v>
      </c>
      <c r="AM19">
        <f>NETWORKDAYS.INTL(EMP[[#This Row],[Start_Date]],EMP[[#This Row],[End_Date]],13)</f>
        <v>236</v>
      </c>
    </row>
    <row r="20" spans="1:39" x14ac:dyDescent="0.25">
      <c r="A20" t="s">
        <v>36</v>
      </c>
      <c r="B20" s="6">
        <v>46157.416666666664</v>
      </c>
      <c r="C20" s="1">
        <v>46402.770833333336</v>
      </c>
      <c r="D20" t="s">
        <v>6</v>
      </c>
      <c r="E20" t="s">
        <v>20</v>
      </c>
      <c r="G20" s="7">
        <v>46249</v>
      </c>
      <c r="I20">
        <f>YEAR(EMP[[#This Row],[Start_Date]])</f>
        <v>2026</v>
      </c>
      <c r="J20">
        <f>MONTH(EMP[[#This Row],[Start_Date]])</f>
        <v>5</v>
      </c>
      <c r="K20">
        <f>DAY(EMP[[#This Row],[Start_Date]])</f>
        <v>15</v>
      </c>
      <c r="L20">
        <f>HOUR(EMP[[#This Row],[Start_Date]])</f>
        <v>10</v>
      </c>
      <c r="M20">
        <f>MINUTE(EMP[[#This Row],[Start_Date]])</f>
        <v>0</v>
      </c>
      <c r="N20">
        <f>SECOND(EMP[[#This Row],[Start_Date]])</f>
        <v>0</v>
      </c>
      <c r="O20" s="2">
        <f t="shared" si="0"/>
        <v>46157</v>
      </c>
      <c r="P20" s="5">
        <f t="shared" si="1"/>
        <v>0.41666666666666669</v>
      </c>
      <c r="Q20">
        <f>WEEKNUM(EMP[[#This Row],[Start_Date]],11)</f>
        <v>20</v>
      </c>
      <c r="R20">
        <f>WEEKNUM(EMP[[#This Row],[Start_Date]],21)</f>
        <v>20</v>
      </c>
      <c r="S20">
        <f>_xlfn.ISOWEEKNUM(EMP[[#This Row],[Start_Date]])</f>
        <v>20</v>
      </c>
      <c r="T20">
        <f>_xlfn.DAYS(EMP[[#This Row],[End_Date]],EMP[[#This Row],[Start_Date]])</f>
        <v>245</v>
      </c>
      <c r="U20">
        <f>DATEDIF(EMP[[#This Row],[Start_Date]],EMP[[#This Row],[End_Date]], "Y")</f>
        <v>0</v>
      </c>
      <c r="V20">
        <f>DATEDIF(EMP[[#This Row],[Start_Date]],EMP[[#This Row],[End_Date]], "M")</f>
        <v>8</v>
      </c>
      <c r="W20">
        <f>DATEDIF(EMP[[#This Row],[Start_Date]],EMP[[#This Row],[End_Date]], "D")</f>
        <v>245</v>
      </c>
      <c r="X20" s="2">
        <f>EDATE(EMP[[#This Row],[Start_Date]],4)</f>
        <v>46280</v>
      </c>
      <c r="Y20" s="2">
        <f>EDATE(EMP[[#This Row],[Start_Date]],5)</f>
        <v>46310</v>
      </c>
      <c r="Z20" s="2">
        <f>EOMONTH(EMP[[#This Row],[Start_Date]],2)</f>
        <v>46234</v>
      </c>
      <c r="AA20" s="2">
        <f>EOMONTH(EMP[[#This Row],[Start_Date]],3)</f>
        <v>46265</v>
      </c>
      <c r="AB20" s="2">
        <f>EOMONTH(EMP[[#This Row],[Start_Date]],4)</f>
        <v>46295</v>
      </c>
      <c r="AC20" s="2">
        <f>WORKDAY(EMP[[#This Row],[Start_Date]],4,$G$2:$G$21)</f>
        <v>46163</v>
      </c>
      <c r="AD20" s="2">
        <f>WORKDAY(EMP[[#This Row],[Start_Date]],10,G20:$G$21)</f>
        <v>46171</v>
      </c>
      <c r="AE20" s="2">
        <f>WORKDAY.INTL(EMP[[#This Row],[Start_Date]],5,)</f>
        <v>46164</v>
      </c>
      <c r="AF20" s="2">
        <f>WORKDAY.INTL(EMP[[#This Row],[Start_Date]],20,13,$G$2:$G$21)</f>
        <v>46180</v>
      </c>
      <c r="AG20" s="2">
        <f>WORKDAY(EMP[[#This Row],[Start_Date]],-20)</f>
        <v>46129</v>
      </c>
      <c r="AH20">
        <f>NETWORKDAYS(EMP[[#This Row],[Start_Date]],EMP[[#This Row],[End_Date]],{"26-01-2023","15-08-2023","26-01-2024","15-08-2024","26-01-2025","15-08-2025","26-01-2026","15-08-2026"})</f>
        <v>176</v>
      </c>
      <c r="AI20">
        <f>NETWORKDAYS(EMP[[#This Row],[Start_Date]],EMP[[#This Row],[End_Date]],$G$2:$G$21)</f>
        <v>175</v>
      </c>
      <c r="AJ20">
        <f>NETWORKDAYS(EMP[[#This Row],[Start_Date]],EMP[[#This Row],[End_Date]])</f>
        <v>176</v>
      </c>
      <c r="AK20">
        <f>NETWORKDAYS.INTL(EMP[[#This Row],[Start_Date]],EMP[[#This Row],[End_Date]],13,{"26-01-2023","15-08-2023","26-01-2024","15-08-2024","26-01-2025","15-08-2025","26-01-2026","15-08-2026"})</f>
        <v>210</v>
      </c>
      <c r="AL20">
        <f>NETWORKDAYS.INTL(EMP[[#This Row],[Start_Date]],EMP[[#This Row],[End_Date]],13,$G$2:$G$21)</f>
        <v>208</v>
      </c>
      <c r="AM20">
        <f>NETWORKDAYS.INTL(EMP[[#This Row],[Start_Date]],EMP[[#This Row],[End_Date]],13)</f>
        <v>211</v>
      </c>
    </row>
    <row r="21" spans="1:39" x14ac:dyDescent="0.25">
      <c r="A21" t="s">
        <v>37</v>
      </c>
      <c r="B21" s="6">
        <v>46204.354166666664</v>
      </c>
      <c r="C21" s="1">
        <v>46568.708333333336</v>
      </c>
      <c r="D21" t="s">
        <v>38</v>
      </c>
      <c r="E21" t="s">
        <v>20</v>
      </c>
      <c r="G21" s="7">
        <v>46297</v>
      </c>
      <c r="I21">
        <f>YEAR(EMP[[#This Row],[Start_Date]])</f>
        <v>2026</v>
      </c>
      <c r="J21">
        <f>MONTH(EMP[[#This Row],[Start_Date]])</f>
        <v>7</v>
      </c>
      <c r="K21">
        <f>DAY(EMP[[#This Row],[Start_Date]])</f>
        <v>1</v>
      </c>
      <c r="L21">
        <f>HOUR(EMP[[#This Row],[Start_Date]])</f>
        <v>8</v>
      </c>
      <c r="M21">
        <f>MINUTE(EMP[[#This Row],[Start_Date]])</f>
        <v>30</v>
      </c>
      <c r="N21">
        <f>SECOND(EMP[[#This Row],[Start_Date]])</f>
        <v>0</v>
      </c>
      <c r="O21" s="2">
        <f t="shared" si="0"/>
        <v>46204</v>
      </c>
      <c r="P21" s="5">
        <f t="shared" si="1"/>
        <v>0.35416666666666669</v>
      </c>
      <c r="Q21">
        <f>WEEKNUM(EMP[[#This Row],[Start_Date]],11)</f>
        <v>27</v>
      </c>
      <c r="R21">
        <f>WEEKNUM(EMP[[#This Row],[Start_Date]],21)</f>
        <v>27</v>
      </c>
      <c r="S21">
        <f>_xlfn.ISOWEEKNUM(EMP[[#This Row],[Start_Date]])</f>
        <v>27</v>
      </c>
      <c r="T21">
        <f>_xlfn.DAYS(EMP[[#This Row],[End_Date]],EMP[[#This Row],[Start_Date]])</f>
        <v>364</v>
      </c>
      <c r="U21">
        <f>DATEDIF(EMP[[#This Row],[Start_Date]],EMP[[#This Row],[End_Date]], "Y")</f>
        <v>0</v>
      </c>
      <c r="V21">
        <f>DATEDIF(EMP[[#This Row],[Start_Date]],EMP[[#This Row],[End_Date]], "M")</f>
        <v>11</v>
      </c>
      <c r="W21">
        <f>DATEDIF(EMP[[#This Row],[Start_Date]],EMP[[#This Row],[End_Date]], "D")</f>
        <v>364</v>
      </c>
      <c r="X21" s="2">
        <f>EDATE(EMP[[#This Row],[Start_Date]],4)</f>
        <v>46327</v>
      </c>
      <c r="Y21" s="2">
        <f>EDATE(EMP[[#This Row],[Start_Date]],5)</f>
        <v>46357</v>
      </c>
      <c r="Z21" s="2">
        <f>EOMONTH(EMP[[#This Row],[Start_Date]],2)</f>
        <v>46295</v>
      </c>
      <c r="AA21" s="2">
        <f>EOMONTH(EMP[[#This Row],[Start_Date]],3)</f>
        <v>46326</v>
      </c>
      <c r="AB21" s="2">
        <f>EOMONTH(EMP[[#This Row],[Start_Date]],4)</f>
        <v>46356</v>
      </c>
      <c r="AC21" s="2">
        <f>WORKDAY(EMP[[#This Row],[Start_Date]],4,$G$2:$G$21)</f>
        <v>46210</v>
      </c>
      <c r="AD21" s="2">
        <f>WORKDAY(EMP[[#This Row],[Start_Date]],10,G21:$G$21)</f>
        <v>46218</v>
      </c>
      <c r="AE21" s="2">
        <f>WORKDAY.INTL(EMP[[#This Row],[Start_Date]],5,)</f>
        <v>46211</v>
      </c>
      <c r="AF21" s="2">
        <f>WORKDAY.INTL(EMP[[#This Row],[Start_Date]],20,13,$G$2:$G$21)</f>
        <v>46227</v>
      </c>
      <c r="AG21" s="2">
        <f>WORKDAY(EMP[[#This Row],[Start_Date]],-20)</f>
        <v>46176</v>
      </c>
      <c r="AH21">
        <f>NETWORKDAYS(EMP[[#This Row],[Start_Date]],EMP[[#This Row],[End_Date]],{"26-01-2023","15-08-2023","26-01-2024","15-08-2024","26-01-2025","15-08-2025","26-01-2026","15-08-2026"})</f>
        <v>261</v>
      </c>
      <c r="AI21">
        <f>NETWORKDAYS(EMP[[#This Row],[Start_Date]],EMP[[#This Row],[End_Date]],$G$2:$G$21)</f>
        <v>260</v>
      </c>
      <c r="AJ21">
        <f>NETWORKDAYS(EMP[[#This Row],[Start_Date]],EMP[[#This Row],[End_Date]])</f>
        <v>261</v>
      </c>
      <c r="AK21">
        <f>NETWORKDAYS.INTL(EMP[[#This Row],[Start_Date]],EMP[[#This Row],[End_Date]],13,{"26-01-2023","15-08-2023","26-01-2024","15-08-2024","26-01-2025","15-08-2025","26-01-2026","15-08-2026"})</f>
        <v>312</v>
      </c>
      <c r="AL21">
        <f>NETWORKDAYS.INTL(EMP[[#This Row],[Start_Date]],EMP[[#This Row],[End_Date]],13,$G$2:$G$21)</f>
        <v>310</v>
      </c>
      <c r="AM21">
        <f>NETWORKDAYS.INTL(EMP[[#This Row],[Start_Date]],EMP[[#This Row],[End_Date]],13)</f>
        <v>313</v>
      </c>
    </row>
    <row r="23" spans="1:39" x14ac:dyDescent="0.25">
      <c r="F23" s="3" t="s">
        <v>39</v>
      </c>
      <c r="G23" s="2">
        <f ca="1">TODAY()</f>
        <v>46313</v>
      </c>
    </row>
    <row r="24" spans="1:39" x14ac:dyDescent="0.25">
      <c r="F24" s="3" t="s">
        <v>40</v>
      </c>
      <c r="G24" s="1">
        <f ca="1">NOW()</f>
        <v>46313.683034606482</v>
      </c>
    </row>
  </sheetData>
  <mergeCells count="8">
    <mergeCell ref="AH1:AJ1"/>
    <mergeCell ref="AK1:AM1"/>
    <mergeCell ref="Q1:R1"/>
    <mergeCell ref="U1:W1"/>
    <mergeCell ref="X1:Y1"/>
    <mergeCell ref="Z1:AB1"/>
    <mergeCell ref="AC1:AD1"/>
    <mergeCell ref="AE1:AG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and Time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Gadhavi</dc:creator>
  <cp:lastModifiedBy>ASDC12</cp:lastModifiedBy>
  <dcterms:created xsi:type="dcterms:W3CDTF">2026-10-04T06:19:38Z</dcterms:created>
  <dcterms:modified xsi:type="dcterms:W3CDTF">2026-10-18T10:53:57Z</dcterms:modified>
</cp:coreProperties>
</file>