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MANSHU ARYA DA24\"/>
    </mc:Choice>
  </mc:AlternateContent>
  <xr:revisionPtr revIDLastSave="0" documentId="8_{5772C263-0304-4C6A-BC78-FDE615D98312}" xr6:coauthVersionLast="47" xr6:coauthVersionMax="47" xr10:uidLastSave="{00000000-0000-0000-0000-000000000000}"/>
  <bookViews>
    <workbookView xWindow="-120" yWindow="-120" windowWidth="29040" windowHeight="15720" xr2:uid="{44387EC5-AD0E-4C27-9873-5E9297AE5430}"/>
  </bookViews>
  <sheets>
    <sheet name="Log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" i="1" l="1" a="1"/>
  <c r="V3" i="1"/>
  <c r="V4" i="1" a="1"/>
  <c r="V4" i="1"/>
  <c r="V5" i="1" a="1"/>
  <c r="V5" i="1" s="1"/>
  <c r="V6" i="1" a="1"/>
  <c r="V6" i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/>
  <c r="V13" i="1" a="1"/>
  <c r="V13" i="1"/>
  <c r="V14" i="1" a="1"/>
  <c r="V14" i="1"/>
  <c r="V15" i="1" a="1"/>
  <c r="V15" i="1"/>
  <c r="V16" i="1" a="1"/>
  <c r="V16" i="1"/>
  <c r="V17" i="1" a="1"/>
  <c r="V17" i="1" s="1"/>
  <c r="V18" i="1" a="1"/>
  <c r="V18" i="1"/>
  <c r="V19" i="1" a="1"/>
  <c r="V19" i="1" s="1"/>
  <c r="V20" i="1" a="1"/>
  <c r="V20" i="1" s="1"/>
  <c r="V21" i="1" a="1"/>
  <c r="V21" i="1" s="1"/>
  <c r="W3" i="1" a="1"/>
  <c r="W3" i="1"/>
  <c r="W4" i="1" a="1"/>
  <c r="W4" i="1" s="1"/>
  <c r="W5" i="1" a="1"/>
  <c r="W5" i="1" s="1"/>
  <c r="W6" i="1" a="1"/>
  <c r="W6" i="1" s="1"/>
  <c r="W7" i="1" a="1"/>
  <c r="W7" i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" i="1" a="1"/>
  <c r="W2" i="1"/>
  <c r="U3" i="1" a="1"/>
  <c r="U3" i="1" s="1"/>
  <c r="U4" i="1" a="1"/>
  <c r="U4" i="1"/>
  <c r="U5" i="1" a="1"/>
  <c r="U5" i="1" s="1"/>
  <c r="U6" i="1" a="1"/>
  <c r="U6" i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/>
  <c r="U13" i="1" a="1"/>
  <c r="U13" i="1" s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 s="1"/>
  <c r="U2" i="1" a="1"/>
  <c r="U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P2" i="1"/>
  <c r="Q2" i="1"/>
  <c r="R2" i="1"/>
  <c r="S2" i="1"/>
  <c r="V2" i="1" a="1"/>
  <c r="V2" i="1" s="1"/>
  <c r="N3" i="1"/>
  <c r="O3" i="1"/>
  <c r="P3" i="1"/>
  <c r="Q3" i="1"/>
  <c r="R3" i="1"/>
  <c r="S3" i="1"/>
  <c r="N4" i="1"/>
  <c r="O4" i="1"/>
  <c r="P4" i="1"/>
  <c r="Q4" i="1"/>
  <c r="R4" i="1"/>
  <c r="S4" i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<sst xmlns="http://schemas.openxmlformats.org/spreadsheetml/2006/main" count="117" uniqueCount="67">
  <si>
    <t>Order_ID</t>
  </si>
  <si>
    <t>Customer_ID</t>
  </si>
  <si>
    <t>Category</t>
  </si>
  <si>
    <t>Quantity</t>
  </si>
  <si>
    <t>Unit_Price</t>
  </si>
  <si>
    <t>Order_Status</t>
  </si>
  <si>
    <t>Returned</t>
  </si>
  <si>
    <t>ORD-0001</t>
  </si>
  <si>
    <t>CUST-0001</t>
  </si>
  <si>
    <t>Electronics</t>
  </si>
  <si>
    <t>Delivered</t>
  </si>
  <si>
    <t>No</t>
  </si>
  <si>
    <t>ORD-0002</t>
  </si>
  <si>
    <t>CUST-0002</t>
  </si>
  <si>
    <t>Processing</t>
  </si>
  <si>
    <t>ORD-0003</t>
  </si>
  <si>
    <t>CUST-0003</t>
  </si>
  <si>
    <t>Lifestyle</t>
  </si>
  <si>
    <t>Yes</t>
  </si>
  <si>
    <t>ORD-0004</t>
  </si>
  <si>
    <t>CUST-0004</t>
  </si>
  <si>
    <t>Accessories</t>
  </si>
  <si>
    <t>ORD-0005</t>
  </si>
  <si>
    <t>CUST-0005</t>
  </si>
  <si>
    <t>Shipped</t>
  </si>
  <si>
    <t>ORD-0006</t>
  </si>
  <si>
    <t>CUST-0006</t>
  </si>
  <si>
    <t>ORD-0007</t>
  </si>
  <si>
    <t>CUST-0007</t>
  </si>
  <si>
    <t>Furniture</t>
  </si>
  <si>
    <t>ORD-0008</t>
  </si>
  <si>
    <t>CUST-0008</t>
  </si>
  <si>
    <t>ORD-0009</t>
  </si>
  <si>
    <t>CUST-0009</t>
  </si>
  <si>
    <t>ORD-0010</t>
  </si>
  <si>
    <t>CUST-0010</t>
  </si>
  <si>
    <t>ORD-0011</t>
  </si>
  <si>
    <t>CUST-0011</t>
  </si>
  <si>
    <t>ORD-0012</t>
  </si>
  <si>
    <t>CUST-0012</t>
  </si>
  <si>
    <t>ORD-0013</t>
  </si>
  <si>
    <t>CUST-0013</t>
  </si>
  <si>
    <t>ORD-0014</t>
  </si>
  <si>
    <t>CUST-0014</t>
  </si>
  <si>
    <t>ORD-0015</t>
  </si>
  <si>
    <t>CUST-0015</t>
  </si>
  <si>
    <t>ORD-0016</t>
  </si>
  <si>
    <t>CUST-0016</t>
  </si>
  <si>
    <t>Cancelled</t>
  </si>
  <si>
    <t>ORD-0017</t>
  </si>
  <si>
    <t>CUST-0017</t>
  </si>
  <si>
    <t>ORD-0018</t>
  </si>
  <si>
    <t>CUST-0018</t>
  </si>
  <si>
    <t>ORD-0019</t>
  </si>
  <si>
    <t>CUST-0019</t>
  </si>
  <si>
    <t>ORD-0020</t>
  </si>
  <si>
    <t>CUST-0020</t>
  </si>
  <si>
    <t>NOT()</t>
  </si>
  <si>
    <t>&lt;&gt;</t>
  </si>
  <si>
    <t>AND()</t>
  </si>
  <si>
    <t>*</t>
  </si>
  <si>
    <t>OR()</t>
  </si>
  <si>
    <t>+</t>
  </si>
  <si>
    <t>IF()</t>
  </si>
  <si>
    <t>IFS()</t>
  </si>
  <si>
    <t>Nested IF()</t>
  </si>
  <si>
    <t>SWITCH()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</si>
</sst>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numFmt numFmtId="10" formatCode="&quot;₹&quot;\ #,##0;[Red]&quot;₹&quot;\ \-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EA35A-B0F1-4D0D-A209-4D034DCCB5C8}" name="ECom" displayName="ECom" ref="A1:G21" totalsRowShown="0">
  <autoFilter ref="A1:G21" xr:uid="{E52EA35A-B0F1-4D0D-A209-4D034DCCB5C8}"/>
  <tableColumns count="7">
    <tableColumn id="1" xr3:uid="{5E9DE05C-47A2-4A73-B98A-E0930E9A92F9}" name="Order_ID"/>
    <tableColumn id="3" xr3:uid="{34B7616C-D841-4A9B-BCF5-F92F11F15645}" name="Customer_ID"/>
    <tableColumn id="7" xr3:uid="{2D7F38C8-F7B7-4436-861B-CA0D29A26A43}" name="Category"/>
    <tableColumn id="8" xr3:uid="{CE68EE58-4CEB-42FF-81CF-CC70CF31D295}" name="Quantity"/>
    <tableColumn id="9" xr3:uid="{8AF2FD73-328F-497D-92DF-14E35C75B21B}" name="Unit_Price" dataDxfId="0"/>
    <tableColumn id="11" xr3:uid="{48A549DC-E820-413B-94C8-47B44461717D}" name="Order_Status"/>
    <tableColumn id="12" xr3:uid="{CA7381B3-E662-469E-B167-445D0A00042A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62AD-E282-4D11-BE2B-A2DD110E2CFA}">
  <dimension ref="A1:W21"/>
  <sheetViews>
    <sheetView tabSelected="1" workbookViewId="0">
      <pane xSplit="7" ySplit="1" topLeftCell="I2" activePane="bottomRight" state="frozen"/>
      <selection pane="topRight" activeCell="H1" sqref="H1"/>
      <selection pane="bottomLeft" activeCell="A2" sqref="A2"/>
      <selection pane="bottomRight" activeCell="D28" sqref="D28"/>
    </sheetView>
  </sheetViews>
  <sheetFormatPr defaultRowHeight="15" x14ac:dyDescent="0.25"/>
  <cols>
    <col min="1" max="1" width="11.140625" customWidth="1"/>
    <col min="2" max="2" width="14.5703125" customWidth="1"/>
    <col min="3" max="3" width="11.28515625" bestFit="1" customWidth="1"/>
    <col min="4" max="4" width="10.85546875" customWidth="1"/>
    <col min="5" max="5" width="12.42578125" customWidth="1"/>
    <col min="6" max="6" width="14.7109375" customWidth="1"/>
    <col min="7" max="7" width="11.42578125" customWidth="1"/>
    <col min="19" max="19" width="1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3" t="s">
        <v>63</v>
      </c>
      <c r="P1" s="3"/>
      <c r="Q1" s="3"/>
      <c r="R1" s="3"/>
      <c r="S1" s="3"/>
      <c r="T1" s="2" t="s">
        <v>65</v>
      </c>
      <c r="U1" s="2" t="s">
        <v>64</v>
      </c>
      <c r="V1" s="3" t="s">
        <v>66</v>
      </c>
      <c r="W1" s="3"/>
    </row>
    <row r="2" spans="1:23" x14ac:dyDescent="0.25">
      <c r="A2" t="s">
        <v>7</v>
      </c>
      <c r="B2" t="s">
        <v>8</v>
      </c>
      <c r="C2" t="s">
        <v>9</v>
      </c>
      <c r="D2">
        <v>5</v>
      </c>
      <c r="E2" s="1">
        <v>3500</v>
      </c>
      <c r="F2" t="s">
        <v>10</v>
      </c>
      <c r="G2" t="s">
        <v>11</v>
      </c>
      <c r="I2" t="b">
        <f>NOT(ECom[[#This Row],[Category]]="electronics")</f>
        <v>0</v>
      </c>
      <c r="J2" t="b">
        <f>ECom[[#This Row],[Category]]&lt;&gt;"electronics"</f>
        <v>0</v>
      </c>
      <c r="K2" t="b">
        <f>AND(ECom[[#This Row],[Quantity]]&gt;=3,ECom[[#This Row],[Unit_Price]])</f>
        <v>1</v>
      </c>
      <c r="L2">
        <f>(ECom[[#This Row],[Quantity]]&gt;=3)*(ECom[[#This Row],[Unit_Price]]&gt;=10000)</f>
        <v>0</v>
      </c>
      <c r="M2" t="b">
        <f>OR(ECom[[#This Row],[Quantity]]&gt;=3,ECom[[#This Row],[Unit_Price]]&gt;=10000)</f>
        <v>1</v>
      </c>
      <c r="P2" t="str">
        <f>IF(AND(ECom[[#This Row],[Quantity]]&gt;=3, ECom[[#This Row],[Unit_Price]]&gt;= 10000), "Bulk &amp; Expensive", "Other")</f>
        <v>Other</v>
      </c>
      <c r="Q2" t="str">
        <f>IF((ECom[[#This Row],[Quantity]]&gt;=3)*(ECom[[#This Row],[Unit_Price]]&gt;= 10000), "Bulk &amp; Expensive", "Other")</f>
        <v>Other</v>
      </c>
      <c r="R2" t="str">
        <f>IF(OR(ECom[[#This Row],[Quantity]]&gt;=3, ECom[[#This Row],[Unit_Price]]&gt;= 10000), "Bulk/Expensive", "Other")</f>
        <v>Bulk/Expensive</v>
      </c>
      <c r="S2" t="str">
        <f>IF((ECom[[#This Row],[Quantity]]&gt;=3)+(ECom[[#This Row],[Unit_Price]]&gt;= 10000), "Bulk/Expensive", "Other")</f>
        <v>Bulk/Expensive</v>
      </c>
      <c r="T2" t="str">
        <f>IF(ECom[[#This Row],[Unit_Price]]&lt;500,"low",IF(ECom[[#This Row],[Unit_Price]]&lt;1000,"MEDIUM",IF(ECom[[#This Row],[Unit_Price]]&lt;5000,"High","premium")))</f>
        <v>High</v>
      </c>
      <c r="U2" t="str" cm="1">
        <f t="array" ref="U2">_xlfn.IFS(ECom[[#This Row],[Unit_Price]]&lt;500,"low",ECom[[#This Row],[Unit_Price]]&lt;1000,"medium",ECom[[#This Row],[Unit_Price]]&lt;5000,"high",TRUE,"premium")</f>
        <v>high</v>
      </c>
      <c r="V2" t="str" cm="1">
        <f t="array" ref="V2">_xlfn.SWITCH(TRUE, ECom[[#This Row],[Unit_Price]]&lt;500, "Low", ECom[[#This Row],[Unit_Price]]&lt;1000, "Medium", ECom[[#This Row],[Unit_Price]]&lt;5000, "High", "Premium")</f>
        <v>High</v>
      </c>
      <c r="W2" t="str" cm="1">
        <f t="array" ref="W2">_xlfn.SWITCH(ECom[[#This Row],[Order_Status]],"DELIVERED","1","PROCESSING","2","RETURNED","3","SHIPPED","4","CANCELLED","5")</f>
        <v>1</v>
      </c>
    </row>
    <row r="3" spans="1:23" x14ac:dyDescent="0.25">
      <c r="A3" t="s">
        <v>12</v>
      </c>
      <c r="B3" t="s">
        <v>13</v>
      </c>
      <c r="C3" t="s">
        <v>9</v>
      </c>
      <c r="D3">
        <v>3</v>
      </c>
      <c r="E3" s="1">
        <v>4500</v>
      </c>
      <c r="F3" t="s">
        <v>14</v>
      </c>
      <c r="G3" t="s">
        <v>11</v>
      </c>
      <c r="I3" t="b">
        <f>NOT(ECom[[#This Row],[Category]]="electronics")</f>
        <v>0</v>
      </c>
      <c r="J3" t="b">
        <f>ECom[[#This Row],[Category]]&lt;&gt;"electronics"</f>
        <v>0</v>
      </c>
      <c r="K3" t="b">
        <f>AND(ECom[[#This Row],[Quantity]]&gt;=3,ECom[[#This Row],[Unit_Price]])</f>
        <v>1</v>
      </c>
      <c r="L3">
        <f>(ECom[[#This Row],[Quantity]]&gt;=3)*(ECom[[#This Row],[Unit_Price]]&gt;=10000)</f>
        <v>0</v>
      </c>
      <c r="M3" t="b">
        <f>OR(ECom[[#This Row],[Quantity]]&gt;=3,ECom[[#This Row],[Unit_Price]]&gt;=10000)</f>
        <v>1</v>
      </c>
      <c r="N3">
        <f>(ECom[[#This Row],[Quantity]]&gt;=3)+(ECom[[#This Row],[Unit_Price]]&gt;= 10000)</f>
        <v>1</v>
      </c>
      <c r="O3">
        <f>IF(ECom[[#This Row],[Returned]]="Yes", 1, 0)</f>
        <v>0</v>
      </c>
      <c r="P3" t="str">
        <f>IF(AND(ECom[[#This Row],[Quantity]]&gt;=3, ECom[[#This Row],[Unit_Price]]&gt;= 10000), "Bulk &amp; Expensive", "Other")</f>
        <v>Other</v>
      </c>
      <c r="Q3" t="str">
        <f>IF((ECom[[#This Row],[Quantity]]&gt;=3)*(ECom[[#This Row],[Unit_Price]]&gt;= 10000), "Bulk &amp; Expensive", "Other")</f>
        <v>Other</v>
      </c>
      <c r="R3" t="str">
        <f>IF(OR(ECom[[#This Row],[Quantity]]&gt;=3, ECom[[#This Row],[Unit_Price]]&gt;= 10000), "Bulk/Expensive", "Other")</f>
        <v>Bulk/Expensive</v>
      </c>
      <c r="S3" t="str">
        <f>IF((ECom[[#This Row],[Quantity]]&gt;=3)+(ECom[[#This Row],[Unit_Price]]&gt;= 10000), "Bulk/Expensive", "Other")</f>
        <v>Bulk/Expensive</v>
      </c>
      <c r="T3" t="str">
        <f>IF(ECom[[#This Row],[Unit_Price]]&lt;500,"low",IF(ECom[[#This Row],[Unit_Price]]&lt;1000,"MEDIUM",IF(ECom[[#This Row],[Unit_Price]]&lt;5000,"High","premium")))</f>
        <v>High</v>
      </c>
      <c r="U3" t="str" cm="1">
        <f t="array" ref="U3">_xlfn.IFS(ECom[[#This Row],[Unit_Price]]&lt;500,"low",ECom[[#This Row],[Unit_Price]]&lt;1000,"medium",ECom[[#This Row],[Unit_Price]]&lt;5000,"high",TRUE,"premium")</f>
        <v>high</v>
      </c>
      <c r="V3" t="str" cm="1">
        <f t="array" ref="V3">_xlfn.SWITCH(TRUE, ECom[[#This Row],[Unit_Price]]&lt;500, "Low", ECom[[#This Row],[Unit_Price]]&lt;1000, "Medium", ECom[[#This Row],[Unit_Price]]&lt;5000, "High", "Premium")</f>
        <v>High</v>
      </c>
      <c r="W3" t="str" cm="1">
        <f t="array" ref="W3">_xlfn.SWITCH(ECom[[#This Row],[Order_Status]],"DELIVERED","1","PROCESSING","2","RETURNED","3","SHIPPED","4","CANCELLED","5")</f>
        <v>2</v>
      </c>
    </row>
    <row r="4" spans="1:23" x14ac:dyDescent="0.25">
      <c r="A4" t="s">
        <v>15</v>
      </c>
      <c r="B4" t="s">
        <v>16</v>
      </c>
      <c r="C4" t="s">
        <v>17</v>
      </c>
      <c r="D4">
        <v>2</v>
      </c>
      <c r="E4" s="1">
        <v>1800</v>
      </c>
      <c r="F4" t="s">
        <v>6</v>
      </c>
      <c r="G4" t="s">
        <v>18</v>
      </c>
      <c r="I4" t="b">
        <f>NOT(ECom[[#This Row],[Category]]="electronics")</f>
        <v>1</v>
      </c>
      <c r="J4" t="b">
        <f>ECom[[#This Row],[Category]]&lt;&gt;"electronics"</f>
        <v>1</v>
      </c>
      <c r="K4" t="b">
        <f>AND(ECom[[#This Row],[Quantity]]&gt;=3,ECom[[#This Row],[Unit_Price]])</f>
        <v>0</v>
      </c>
      <c r="L4">
        <f>(ECom[[#This Row],[Quantity]]&gt;=3)*(ECom[[#This Row],[Unit_Price]]&gt;=10000)</f>
        <v>0</v>
      </c>
      <c r="M4" t="b">
        <f>OR(ECom[[#This Row],[Quantity]]&gt;=3,ECom[[#This Row],[Unit_Price]]&gt;=10000)</f>
        <v>0</v>
      </c>
      <c r="N4">
        <f>(ECom[[#This Row],[Quantity]]&gt;=3)+(ECom[[#This Row],[Unit_Price]]&gt;= 10000)</f>
        <v>0</v>
      </c>
      <c r="O4">
        <f>IF(ECom[[#This Row],[Returned]]="Yes", 1, 0)</f>
        <v>1</v>
      </c>
      <c r="P4" t="str">
        <f>IF(AND(ECom[[#This Row],[Quantity]]&gt;=3, ECom[[#This Row],[Unit_Price]]&gt;= 10000), "Bulk &amp; Expensive", "Other")</f>
        <v>Other</v>
      </c>
      <c r="Q4" t="str">
        <f>IF((ECom[[#This Row],[Quantity]]&gt;=3)*(ECom[[#This Row],[Unit_Price]]&gt;= 10000), "Bulk &amp; Expensive", "Other")</f>
        <v>Other</v>
      </c>
      <c r="R4" t="str">
        <f>IF(OR(ECom[[#This Row],[Quantity]]&gt;=3, ECom[[#This Row],[Unit_Price]]&gt;= 10000), "Bulk/Expensive", "Other")</f>
        <v>Other</v>
      </c>
      <c r="S4" t="str">
        <f>IF((ECom[[#This Row],[Quantity]]&gt;=3)+(ECom[[#This Row],[Unit_Price]]&gt;= 10000), "Bulk/Expensive", "Other")</f>
        <v>Other</v>
      </c>
      <c r="T4" t="str">
        <f>IF(ECom[[#This Row],[Unit_Price]]&lt;500,"low",IF(ECom[[#This Row],[Unit_Price]]&lt;1000,"MEDIUM",IF(ECom[[#This Row],[Unit_Price]]&lt;5000,"High","premium")))</f>
        <v>High</v>
      </c>
      <c r="U4" t="str" cm="1">
        <f t="array" ref="U4">_xlfn.IFS(ECom[[#This Row],[Unit_Price]]&lt;500,"low",ECom[[#This Row],[Unit_Price]]&lt;1000,"medium",ECom[[#This Row],[Unit_Price]]&lt;5000,"high",TRUE,"premium")</f>
        <v>high</v>
      </c>
      <c r="V4" t="str" cm="1">
        <f t="array" ref="V4">_xlfn.SWITCH(TRUE, ECom[[#This Row],[Unit_Price]]&lt;500, "Low", ECom[[#This Row],[Unit_Price]]&lt;1000, "Medium", ECom[[#This Row],[Unit_Price]]&lt;5000, "High", "Premium")</f>
        <v>High</v>
      </c>
      <c r="W4" t="str" cm="1">
        <f t="array" ref="W4">_xlfn.SWITCH(ECom[[#This Row],[Order_Status]],"DELIVERED","1","PROCESSING","2","RETURNED","3","SHIPPED","4","CANCELLED","5")</f>
        <v>3</v>
      </c>
    </row>
    <row r="5" spans="1:23" x14ac:dyDescent="0.25">
      <c r="A5" t="s">
        <v>19</v>
      </c>
      <c r="B5" t="s">
        <v>20</v>
      </c>
      <c r="C5" t="s">
        <v>21</v>
      </c>
      <c r="D5">
        <v>1</v>
      </c>
      <c r="E5" s="1">
        <v>1200</v>
      </c>
      <c r="F5" t="s">
        <v>10</v>
      </c>
      <c r="G5" t="s">
        <v>11</v>
      </c>
      <c r="I5" t="b">
        <f>NOT(ECom[[#This Row],[Category]]="electronics")</f>
        <v>1</v>
      </c>
      <c r="J5" t="b">
        <f>ECom[[#This Row],[Category]]&lt;&gt;"electronics"</f>
        <v>1</v>
      </c>
      <c r="K5" t="b">
        <f>AND(ECom[[#This Row],[Quantity]]&gt;=3,ECom[[#This Row],[Unit_Price]])</f>
        <v>0</v>
      </c>
      <c r="L5">
        <f>(ECom[[#This Row],[Quantity]]&gt;=3)*(ECom[[#This Row],[Unit_Price]]&gt;=10000)</f>
        <v>0</v>
      </c>
      <c r="M5" t="b">
        <f>OR(ECom[[#This Row],[Quantity]]&gt;=3,ECom[[#This Row],[Unit_Price]]&gt;=10000)</f>
        <v>0</v>
      </c>
      <c r="N5">
        <f>(ECom[[#This Row],[Quantity]]&gt;=3)+(ECom[[#This Row],[Unit_Price]]&gt;= 10000)</f>
        <v>0</v>
      </c>
      <c r="O5">
        <f>IF(ECom[[#This Row],[Returned]]="Yes", 1, 0)</f>
        <v>0</v>
      </c>
      <c r="P5" t="str">
        <f>IF(AND(ECom[[#This Row],[Quantity]]&gt;=3, ECom[[#This Row],[Unit_Price]]&gt;= 10000), "Bulk &amp; Expensive", "Other")</f>
        <v>Other</v>
      </c>
      <c r="Q5" t="str">
        <f>IF((ECom[[#This Row],[Quantity]]&gt;=3)*(ECom[[#This Row],[Unit_Price]]&gt;= 10000), "Bulk &amp; Expensive", "Other")</f>
        <v>Other</v>
      </c>
      <c r="R5" t="str">
        <f>IF(OR(ECom[[#This Row],[Quantity]]&gt;=3, ECom[[#This Row],[Unit_Price]]&gt;= 10000), "Bulk/Expensive", "Other")</f>
        <v>Other</v>
      </c>
      <c r="S5" t="str">
        <f>IF((ECom[[#This Row],[Quantity]]&gt;=3)+(ECom[[#This Row],[Unit_Price]]&gt;= 10000), "Bulk/Expensive", "Other")</f>
        <v>Other</v>
      </c>
      <c r="T5" t="str">
        <f>IF(ECom[[#This Row],[Unit_Price]]&lt;500,"low",IF(ECom[[#This Row],[Unit_Price]]&lt;1000,"MEDIUM",IF(ECom[[#This Row],[Unit_Price]]&lt;5000,"High","premium")))</f>
        <v>High</v>
      </c>
      <c r="U5" t="str" cm="1">
        <f t="array" ref="U5">_xlfn.IFS(ECom[[#This Row],[Unit_Price]]&lt;500,"low",ECom[[#This Row],[Unit_Price]]&lt;1000,"medium",ECom[[#This Row],[Unit_Price]]&lt;5000,"high",TRUE,"premium")</f>
        <v>high</v>
      </c>
      <c r="V5" t="str" cm="1">
        <f t="array" ref="V5">_xlfn.SWITCH(TRUE, ECom[[#This Row],[Unit_Price]]&lt;500, "Low", ECom[[#This Row],[Unit_Price]]&lt;1000, "Medium", ECom[[#This Row],[Unit_Price]]&lt;5000, "High", "Premium")</f>
        <v>High</v>
      </c>
      <c r="W5" t="str" cm="1">
        <f t="array" ref="W5">_xlfn.SWITCH(ECom[[#This Row],[Order_Status]],"DELIVERED","1","PROCESSING","2","RETURNED","3","SHIPPED","4","CANCELLED","5")</f>
        <v>1</v>
      </c>
    </row>
    <row r="6" spans="1:23" x14ac:dyDescent="0.25">
      <c r="A6" t="s">
        <v>22</v>
      </c>
      <c r="B6" t="s">
        <v>23</v>
      </c>
      <c r="C6" t="s">
        <v>9</v>
      </c>
      <c r="D6">
        <v>2</v>
      </c>
      <c r="E6" s="1">
        <v>4500</v>
      </c>
      <c r="F6" t="s">
        <v>24</v>
      </c>
      <c r="G6" t="s">
        <v>11</v>
      </c>
      <c r="I6" t="b">
        <f>NOT(ECom[[#This Row],[Category]]="electronics")</f>
        <v>0</v>
      </c>
      <c r="J6" t="b">
        <f>ECom[[#This Row],[Category]]&lt;&gt;"electronics"</f>
        <v>0</v>
      </c>
      <c r="K6" t="b">
        <f>AND(ECom[[#This Row],[Quantity]]&gt;=3,ECom[[#This Row],[Unit_Price]])</f>
        <v>0</v>
      </c>
      <c r="L6">
        <f>(ECom[[#This Row],[Quantity]]&gt;=3)*(ECom[[#This Row],[Unit_Price]]&gt;=10000)</f>
        <v>0</v>
      </c>
      <c r="M6" t="b">
        <f>OR(ECom[[#This Row],[Quantity]]&gt;=3,ECom[[#This Row],[Unit_Price]]&gt;=10000)</f>
        <v>0</v>
      </c>
      <c r="N6">
        <f>(ECom[[#This Row],[Quantity]]&gt;=3)+(ECom[[#This Row],[Unit_Price]]&gt;= 10000)</f>
        <v>0</v>
      </c>
      <c r="O6">
        <f>IF(ECom[[#This Row],[Returned]]="Yes", 1, 0)</f>
        <v>0</v>
      </c>
      <c r="P6" t="str">
        <f>IF(AND(ECom[[#This Row],[Quantity]]&gt;=3, ECom[[#This Row],[Unit_Price]]&gt;= 10000), "Bulk &amp; Expensive", "Other")</f>
        <v>Other</v>
      </c>
      <c r="Q6" t="str">
        <f>IF((ECom[[#This Row],[Quantity]]&gt;=3)*(ECom[[#This Row],[Unit_Price]]&gt;= 10000), "Bulk &amp; Expensive", "Other")</f>
        <v>Other</v>
      </c>
      <c r="R6" t="str">
        <f>IF(OR(ECom[[#This Row],[Quantity]]&gt;=3, ECom[[#This Row],[Unit_Price]]&gt;= 10000), "Bulk/Expensive", "Other")</f>
        <v>Other</v>
      </c>
      <c r="S6" t="str">
        <f>IF((ECom[[#This Row],[Quantity]]&gt;=3)+(ECom[[#This Row],[Unit_Price]]&gt;= 10000), "Bulk/Expensive", "Other")</f>
        <v>Other</v>
      </c>
      <c r="T6" t="str">
        <f>IF(ECom[[#This Row],[Unit_Price]]&lt;500,"low",IF(ECom[[#This Row],[Unit_Price]]&lt;1000,"MEDIUM",IF(ECom[[#This Row],[Unit_Price]]&lt;5000,"High","premium")))</f>
        <v>High</v>
      </c>
      <c r="U6" t="str" cm="1">
        <f t="array" ref="U6">_xlfn.IFS(ECom[[#This Row],[Unit_Price]]&lt;500,"low",ECom[[#This Row],[Unit_Price]]&lt;1000,"medium",ECom[[#This Row],[Unit_Price]]&lt;5000,"high",TRUE,"premium")</f>
        <v>high</v>
      </c>
      <c r="V6" t="str" cm="1">
        <f t="array" ref="V6">_xlfn.SWITCH(TRUE, ECom[[#This Row],[Unit_Price]]&lt;500, "Low", ECom[[#This Row],[Unit_Price]]&lt;1000, "Medium", ECom[[#This Row],[Unit_Price]]&lt;5000, "High", "Premium")</f>
        <v>High</v>
      </c>
      <c r="W6" t="str" cm="1">
        <f t="array" ref="W6">_xlfn.SWITCH(ECom[[#This Row],[Order_Status]],"DELIVERED","1","PROCESSING","2","RETURNED","3","SHIPPED","4","CANCELLED","5")</f>
        <v>4</v>
      </c>
    </row>
    <row r="7" spans="1:23" x14ac:dyDescent="0.25">
      <c r="A7" t="s">
        <v>25</v>
      </c>
      <c r="B7" t="s">
        <v>26</v>
      </c>
      <c r="C7" t="s">
        <v>21</v>
      </c>
      <c r="D7">
        <v>4</v>
      </c>
      <c r="E7" s="1">
        <v>800</v>
      </c>
      <c r="F7" t="s">
        <v>14</v>
      </c>
      <c r="G7" t="s">
        <v>11</v>
      </c>
      <c r="I7" t="b">
        <f>NOT(ECom[[#This Row],[Category]]="electronics")</f>
        <v>1</v>
      </c>
      <c r="J7" t="b">
        <f>ECom[[#This Row],[Category]]&lt;&gt;"electronics"</f>
        <v>1</v>
      </c>
      <c r="K7" t="b">
        <f>AND(ECom[[#This Row],[Quantity]]&gt;=3,ECom[[#This Row],[Unit_Price]])</f>
        <v>1</v>
      </c>
      <c r="L7">
        <f>(ECom[[#This Row],[Quantity]]&gt;=3)*(ECom[[#This Row],[Unit_Price]]&gt;=10000)</f>
        <v>0</v>
      </c>
      <c r="M7" t="b">
        <f>OR(ECom[[#This Row],[Quantity]]&gt;=3,ECom[[#This Row],[Unit_Price]]&gt;=10000)</f>
        <v>1</v>
      </c>
      <c r="N7">
        <f>(ECom[[#This Row],[Quantity]]&gt;=3)+(ECom[[#This Row],[Unit_Price]]&gt;= 10000)</f>
        <v>1</v>
      </c>
      <c r="O7">
        <f>IF(ECom[[#This Row],[Returned]]="Yes", 1, 0)</f>
        <v>0</v>
      </c>
      <c r="P7" t="str">
        <f>IF(AND(ECom[[#This Row],[Quantity]]&gt;=3, ECom[[#This Row],[Unit_Price]]&gt;= 10000), "Bulk &amp; Expensive", "Other")</f>
        <v>Other</v>
      </c>
      <c r="Q7" t="str">
        <f>IF((ECom[[#This Row],[Quantity]]&gt;=3)*(ECom[[#This Row],[Unit_Price]]&gt;= 10000), "Bulk &amp; Expensive", "Other")</f>
        <v>Other</v>
      </c>
      <c r="R7" t="str">
        <f>IF(OR(ECom[[#This Row],[Quantity]]&gt;=3, ECom[[#This Row],[Unit_Price]]&gt;= 10000), "Bulk/Expensive", "Other")</f>
        <v>Bulk/Expensive</v>
      </c>
      <c r="S7" t="str">
        <f>IF((ECom[[#This Row],[Quantity]]&gt;=3)+(ECom[[#This Row],[Unit_Price]]&gt;= 10000), "Bulk/Expensive", "Other")</f>
        <v>Bulk/Expensive</v>
      </c>
      <c r="T7" t="str">
        <f>IF(ECom[[#This Row],[Unit_Price]]&lt;500,"low",IF(ECom[[#This Row],[Unit_Price]]&lt;1000,"MEDIUM",IF(ECom[[#This Row],[Unit_Price]]&lt;5000,"High","premium")))</f>
        <v>MEDIUM</v>
      </c>
      <c r="U7" t="str" cm="1">
        <f t="array" ref="U7">_xlfn.IFS(ECom[[#This Row],[Unit_Price]]&lt;500,"low",ECom[[#This Row],[Unit_Price]]&lt;1000,"medium",ECom[[#This Row],[Unit_Price]]&lt;5000,"high",TRUE,"premium")</f>
        <v>medium</v>
      </c>
      <c r="V7" t="str" cm="1">
        <f t="array" ref="V7">_xlfn.SWITCH(TRUE, ECom[[#This Row],[Unit_Price]]&lt;500, "Low", ECom[[#This Row],[Unit_Price]]&lt;1000, "Medium", ECom[[#This Row],[Unit_Price]]&lt;5000, "High", "Premium")</f>
        <v>Medium</v>
      </c>
      <c r="W7" t="str" cm="1">
        <f t="array" ref="W7">_xlfn.SWITCH(ECom[[#This Row],[Order_Status]],"DELIVERED","1","PROCESSING","2","RETURNED","3","SHIPPED","4","CANCELLED","5")</f>
        <v>2</v>
      </c>
    </row>
    <row r="8" spans="1:23" x14ac:dyDescent="0.25">
      <c r="A8" t="s">
        <v>27</v>
      </c>
      <c r="B8" t="s">
        <v>28</v>
      </c>
      <c r="C8" t="s">
        <v>29</v>
      </c>
      <c r="D8">
        <v>2</v>
      </c>
      <c r="E8" s="1">
        <v>2200</v>
      </c>
      <c r="F8" t="s">
        <v>6</v>
      </c>
      <c r="G8" t="s">
        <v>18</v>
      </c>
      <c r="I8" t="b">
        <f>NOT(ECom[[#This Row],[Category]]="electronics")</f>
        <v>1</v>
      </c>
      <c r="J8" t="b">
        <f>ECom[[#This Row],[Category]]&lt;&gt;"electronics"</f>
        <v>1</v>
      </c>
      <c r="K8" t="b">
        <f>AND(ECom[[#This Row],[Quantity]]&gt;=3,ECom[[#This Row],[Unit_Price]])</f>
        <v>0</v>
      </c>
      <c r="L8">
        <f>(ECom[[#This Row],[Quantity]]&gt;=3)*(ECom[[#This Row],[Unit_Price]]&gt;=10000)</f>
        <v>0</v>
      </c>
      <c r="M8" t="b">
        <f>OR(ECom[[#This Row],[Quantity]]&gt;=3,ECom[[#This Row],[Unit_Price]]&gt;=10000)</f>
        <v>0</v>
      </c>
      <c r="N8">
        <f>(ECom[[#This Row],[Quantity]]&gt;=3)+(ECom[[#This Row],[Unit_Price]]&gt;= 10000)</f>
        <v>0</v>
      </c>
      <c r="O8">
        <f>IF(ECom[[#This Row],[Returned]]="Yes", 1, 0)</f>
        <v>1</v>
      </c>
      <c r="P8" t="str">
        <f>IF(AND(ECom[[#This Row],[Quantity]]&gt;=3, ECom[[#This Row],[Unit_Price]]&gt;= 10000), "Bulk &amp; Expensive", "Other")</f>
        <v>Other</v>
      </c>
      <c r="Q8" t="str">
        <f>IF((ECom[[#This Row],[Quantity]]&gt;=3)*(ECom[[#This Row],[Unit_Price]]&gt;= 10000), "Bulk &amp; Expensive", "Other")</f>
        <v>Other</v>
      </c>
      <c r="R8" t="str">
        <f>IF(OR(ECom[[#This Row],[Quantity]]&gt;=3, ECom[[#This Row],[Unit_Price]]&gt;= 10000), "Bulk/Expensive", "Other")</f>
        <v>Other</v>
      </c>
      <c r="S8" t="str">
        <f>IF((ECom[[#This Row],[Quantity]]&gt;=3)+(ECom[[#This Row],[Unit_Price]]&gt;= 10000), "Bulk/Expensive", "Other")</f>
        <v>Other</v>
      </c>
      <c r="T8" t="str">
        <f>IF(ECom[[#This Row],[Unit_Price]]&lt;500,"low",IF(ECom[[#This Row],[Unit_Price]]&lt;1000,"MEDIUM",IF(ECom[[#This Row],[Unit_Price]]&lt;5000,"High","premium")))</f>
        <v>High</v>
      </c>
      <c r="U8" t="str" cm="1">
        <f t="array" ref="U8">_xlfn.IFS(ECom[[#This Row],[Unit_Price]]&lt;500,"low",ECom[[#This Row],[Unit_Price]]&lt;1000,"medium",ECom[[#This Row],[Unit_Price]]&lt;5000,"high",TRUE,"premium")</f>
        <v>high</v>
      </c>
      <c r="V8" t="str" cm="1">
        <f t="array" ref="V8">_xlfn.SWITCH(TRUE, ECom[[#This Row],[Unit_Price]]&lt;500, "Low", ECom[[#This Row],[Unit_Price]]&lt;1000, "Medium", ECom[[#This Row],[Unit_Price]]&lt;5000, "High", "Premium")</f>
        <v>High</v>
      </c>
      <c r="W8" t="str" cm="1">
        <f t="array" ref="W8">_xlfn.SWITCH(ECom[[#This Row],[Order_Status]],"DELIVERED","1","PROCESSING","2","RETURNED","3","SHIPPED","4","CANCELLED","5")</f>
        <v>3</v>
      </c>
    </row>
    <row r="9" spans="1:23" x14ac:dyDescent="0.25">
      <c r="A9" t="s">
        <v>30</v>
      </c>
      <c r="B9" t="s">
        <v>31</v>
      </c>
      <c r="C9" t="s">
        <v>21</v>
      </c>
      <c r="D9">
        <v>2</v>
      </c>
      <c r="E9" s="1">
        <v>1200</v>
      </c>
      <c r="F9" t="s">
        <v>10</v>
      </c>
      <c r="G9" t="s">
        <v>11</v>
      </c>
      <c r="I9" t="b">
        <f>NOT(ECom[[#This Row],[Category]]="electronics")</f>
        <v>1</v>
      </c>
      <c r="J9" t="b">
        <f>ECom[[#This Row],[Category]]&lt;&gt;"electronics"</f>
        <v>1</v>
      </c>
      <c r="K9" t="b">
        <f>AND(ECom[[#This Row],[Quantity]]&gt;=3,ECom[[#This Row],[Unit_Price]])</f>
        <v>0</v>
      </c>
      <c r="L9">
        <f>(ECom[[#This Row],[Quantity]]&gt;=3)*(ECom[[#This Row],[Unit_Price]]&gt;=10000)</f>
        <v>0</v>
      </c>
      <c r="M9" t="b">
        <f>OR(ECom[[#This Row],[Quantity]]&gt;=3,ECom[[#This Row],[Unit_Price]]&gt;=10000)</f>
        <v>0</v>
      </c>
      <c r="N9">
        <f>(ECom[[#This Row],[Quantity]]&gt;=3)+(ECom[[#This Row],[Unit_Price]]&gt;= 10000)</f>
        <v>0</v>
      </c>
      <c r="O9">
        <f>IF(ECom[[#This Row],[Returned]]="Yes", 1, 0)</f>
        <v>0</v>
      </c>
      <c r="P9" t="str">
        <f>IF(AND(ECom[[#This Row],[Quantity]]&gt;=3, ECom[[#This Row],[Unit_Price]]&gt;= 10000), "Bulk &amp; Expensive", "Other")</f>
        <v>Other</v>
      </c>
      <c r="Q9" t="str">
        <f>IF((ECom[[#This Row],[Quantity]]&gt;=3)*(ECom[[#This Row],[Unit_Price]]&gt;= 10000), "Bulk &amp; Expensive", "Other")</f>
        <v>Other</v>
      </c>
      <c r="R9" t="str">
        <f>IF(OR(ECom[[#This Row],[Quantity]]&gt;=3, ECom[[#This Row],[Unit_Price]]&gt;= 10000), "Bulk/Expensive", "Other")</f>
        <v>Other</v>
      </c>
      <c r="S9" t="str">
        <f>IF((ECom[[#This Row],[Quantity]]&gt;=3)+(ECom[[#This Row],[Unit_Price]]&gt;= 10000), "Bulk/Expensive", "Other")</f>
        <v>Other</v>
      </c>
      <c r="T9" t="str">
        <f>IF(ECom[[#This Row],[Unit_Price]]&lt;500,"low",IF(ECom[[#This Row],[Unit_Price]]&lt;1000,"MEDIUM",IF(ECom[[#This Row],[Unit_Price]]&lt;5000,"High","premium")))</f>
        <v>High</v>
      </c>
      <c r="U9" t="str" cm="1">
        <f t="array" ref="U9">_xlfn.IFS(ECom[[#This Row],[Unit_Price]]&lt;500,"low",ECom[[#This Row],[Unit_Price]]&lt;1000,"medium",ECom[[#This Row],[Unit_Price]]&lt;5000,"high",TRUE,"premium")</f>
        <v>high</v>
      </c>
      <c r="V9" t="str" cm="1">
        <f t="array" ref="V9">_xlfn.SWITCH(TRUE, ECom[[#This Row],[Unit_Price]]&lt;500, "Low", ECom[[#This Row],[Unit_Price]]&lt;1000, "Medium", ECom[[#This Row],[Unit_Price]]&lt;5000, "High", "Premium")</f>
        <v>High</v>
      </c>
      <c r="W9" t="str" cm="1">
        <f t="array" ref="W9">_xlfn.SWITCH(ECom[[#This Row],[Order_Status]],"DELIVERED","1","PROCESSING","2","RETURNED","3","SHIPPED","4","CANCELLED","5")</f>
        <v>1</v>
      </c>
    </row>
    <row r="10" spans="1:23" x14ac:dyDescent="0.25">
      <c r="A10" t="s">
        <v>32</v>
      </c>
      <c r="B10" t="s">
        <v>33</v>
      </c>
      <c r="C10" t="s">
        <v>9</v>
      </c>
      <c r="D10">
        <v>1</v>
      </c>
      <c r="E10" s="1">
        <v>55000</v>
      </c>
      <c r="F10" t="s">
        <v>14</v>
      </c>
      <c r="G10" t="s">
        <v>11</v>
      </c>
      <c r="I10" t="b">
        <f>NOT(ECom[[#This Row],[Category]]="electronics")</f>
        <v>0</v>
      </c>
      <c r="J10" t="b">
        <f>ECom[[#This Row],[Category]]&lt;&gt;"electronics"</f>
        <v>0</v>
      </c>
      <c r="K10" t="b">
        <f>AND(ECom[[#This Row],[Quantity]]&gt;=3,ECom[[#This Row],[Unit_Price]])</f>
        <v>0</v>
      </c>
      <c r="L10">
        <f>(ECom[[#This Row],[Quantity]]&gt;=3)*(ECom[[#This Row],[Unit_Price]]&gt;=10000)</f>
        <v>0</v>
      </c>
      <c r="M10" t="b">
        <f>OR(ECom[[#This Row],[Quantity]]&gt;=3,ECom[[#This Row],[Unit_Price]]&gt;=10000)</f>
        <v>1</v>
      </c>
      <c r="N10">
        <f>(ECom[[#This Row],[Quantity]]&gt;=3)+(ECom[[#This Row],[Unit_Price]]&gt;= 10000)</f>
        <v>1</v>
      </c>
      <c r="O10">
        <f>IF(ECom[[#This Row],[Returned]]="Yes", 1, 0)</f>
        <v>0</v>
      </c>
      <c r="P10" t="str">
        <f>IF(AND(ECom[[#This Row],[Quantity]]&gt;=3, ECom[[#This Row],[Unit_Price]]&gt;= 10000), "Bulk &amp; Expensive", "Other")</f>
        <v>Other</v>
      </c>
      <c r="Q10" t="str">
        <f>IF((ECom[[#This Row],[Quantity]]&gt;=3)*(ECom[[#This Row],[Unit_Price]]&gt;= 10000), "Bulk &amp; Expensive", "Other")</f>
        <v>Other</v>
      </c>
      <c r="R10" t="str">
        <f>IF(OR(ECom[[#This Row],[Quantity]]&gt;=3, ECom[[#This Row],[Unit_Price]]&gt;= 10000), "Bulk/Expensive", "Other")</f>
        <v>Bulk/Expensive</v>
      </c>
      <c r="S10" t="str">
        <f>IF((ECom[[#This Row],[Quantity]]&gt;=3)+(ECom[[#This Row],[Unit_Price]]&gt;= 10000), "Bulk/Expensive", "Other")</f>
        <v>Bulk/Expensive</v>
      </c>
      <c r="T10" t="str">
        <f>IF(ECom[[#This Row],[Unit_Price]]&lt;500,"low",IF(ECom[[#This Row],[Unit_Price]]&lt;1000,"MEDIUM",IF(ECom[[#This Row],[Unit_Price]]&lt;5000,"High","premium")))</f>
        <v>premium</v>
      </c>
      <c r="U10" t="str" cm="1">
        <f t="array" ref="U10">_xlfn.IFS(ECom[[#This Row],[Unit_Price]]&lt;500,"low",ECom[[#This Row],[Unit_Price]]&lt;1000,"medium",ECom[[#This Row],[Unit_Price]]&lt;5000,"high",TRUE,"premium")</f>
        <v>premium</v>
      </c>
      <c r="V10" t="str" cm="1">
        <f t="array" ref="V10">_xlfn.SWITCH(TRUE, ECom[[#This Row],[Unit_Price]]&lt;500, "Low", ECom[[#This Row],[Unit_Price]]&lt;1000, "Medium", ECom[[#This Row],[Unit_Price]]&lt;5000, "High", "Premium")</f>
        <v>Premium</v>
      </c>
      <c r="W10" t="str" cm="1">
        <f t="array" ref="W10">_xlfn.SWITCH(ECom[[#This Row],[Order_Status]],"DELIVERED","1","PROCESSING","2","RETURNED","3","SHIPPED","4","CANCELLED","5")</f>
        <v>2</v>
      </c>
    </row>
    <row r="11" spans="1:23" x14ac:dyDescent="0.25">
      <c r="A11" t="s">
        <v>34</v>
      </c>
      <c r="B11" t="s">
        <v>35</v>
      </c>
      <c r="C11" t="s">
        <v>29</v>
      </c>
      <c r="D11">
        <v>1</v>
      </c>
      <c r="E11" s="1">
        <v>2200</v>
      </c>
      <c r="F11" t="s">
        <v>10</v>
      </c>
      <c r="G11" t="s">
        <v>11</v>
      </c>
      <c r="I11" t="b">
        <f>NOT(ECom[[#This Row],[Category]]="electronics")</f>
        <v>1</v>
      </c>
      <c r="J11" t="b">
        <f>ECom[[#This Row],[Category]]&lt;&gt;"electronics"</f>
        <v>1</v>
      </c>
      <c r="K11" t="b">
        <f>AND(ECom[[#This Row],[Quantity]]&gt;=3,ECom[[#This Row],[Unit_Price]])</f>
        <v>0</v>
      </c>
      <c r="L11">
        <f>(ECom[[#This Row],[Quantity]]&gt;=3)*(ECom[[#This Row],[Unit_Price]]&gt;=10000)</f>
        <v>0</v>
      </c>
      <c r="M11" t="b">
        <f>OR(ECom[[#This Row],[Quantity]]&gt;=3,ECom[[#This Row],[Unit_Price]]&gt;=10000)</f>
        <v>0</v>
      </c>
      <c r="N11">
        <f>(ECom[[#This Row],[Quantity]]&gt;=3)+(ECom[[#This Row],[Unit_Price]]&gt;= 10000)</f>
        <v>0</v>
      </c>
      <c r="O11">
        <f>IF(ECom[[#This Row],[Returned]]="Yes", 1, 0)</f>
        <v>0</v>
      </c>
      <c r="P11" t="str">
        <f>IF(AND(ECom[[#This Row],[Quantity]]&gt;=3, ECom[[#This Row],[Unit_Price]]&gt;= 10000), "Bulk &amp; Expensive", "Other")</f>
        <v>Other</v>
      </c>
      <c r="Q11" t="str">
        <f>IF((ECom[[#This Row],[Quantity]]&gt;=3)*(ECom[[#This Row],[Unit_Price]]&gt;= 10000), "Bulk &amp; Expensive", "Other")</f>
        <v>Other</v>
      </c>
      <c r="R11" t="str">
        <f>IF(OR(ECom[[#This Row],[Quantity]]&gt;=3, ECom[[#This Row],[Unit_Price]]&gt;= 10000), "Bulk/Expensive", "Other")</f>
        <v>Other</v>
      </c>
      <c r="S11" t="str">
        <f>IF((ECom[[#This Row],[Quantity]]&gt;=3)+(ECom[[#This Row],[Unit_Price]]&gt;= 10000), "Bulk/Expensive", "Other")</f>
        <v>Other</v>
      </c>
      <c r="T11" t="str">
        <f>IF(ECom[[#This Row],[Unit_Price]]&lt;500,"low",IF(ECom[[#This Row],[Unit_Price]]&lt;1000,"MEDIUM",IF(ECom[[#This Row],[Unit_Price]]&lt;5000,"High","premium")))</f>
        <v>High</v>
      </c>
      <c r="U11" t="str" cm="1">
        <f t="array" ref="U11">_xlfn.IFS(ECom[[#This Row],[Unit_Price]]&lt;500,"low",ECom[[#This Row],[Unit_Price]]&lt;1000,"medium",ECom[[#This Row],[Unit_Price]]&lt;5000,"high",TRUE,"premium")</f>
        <v>high</v>
      </c>
      <c r="V11" t="str" cm="1">
        <f t="array" ref="V11">_xlfn.SWITCH(TRUE, ECom[[#This Row],[Unit_Price]]&lt;500, "Low", ECom[[#This Row],[Unit_Price]]&lt;1000, "Medium", ECom[[#This Row],[Unit_Price]]&lt;5000, "High", "Premium")</f>
        <v>High</v>
      </c>
      <c r="W11" t="str" cm="1">
        <f t="array" ref="W11">_xlfn.SWITCH(ECom[[#This Row],[Order_Status]],"DELIVERED","1","PROCESSING","2","RETURNED","3","SHIPPED","4","CANCELLED","5")</f>
        <v>1</v>
      </c>
    </row>
    <row r="12" spans="1:23" x14ac:dyDescent="0.25">
      <c r="A12" t="s">
        <v>36</v>
      </c>
      <c r="B12" t="s">
        <v>37</v>
      </c>
      <c r="C12" t="s">
        <v>17</v>
      </c>
      <c r="D12">
        <v>1</v>
      </c>
      <c r="E12" s="1">
        <v>1800</v>
      </c>
      <c r="F12" t="s">
        <v>14</v>
      </c>
      <c r="G12" t="s">
        <v>11</v>
      </c>
      <c r="I12" t="b">
        <f>NOT(ECom[[#This Row],[Category]]="electronics")</f>
        <v>1</v>
      </c>
      <c r="J12" t="b">
        <f>ECom[[#This Row],[Category]]&lt;&gt;"electronics"</f>
        <v>1</v>
      </c>
      <c r="K12" t="b">
        <f>AND(ECom[[#This Row],[Quantity]]&gt;=3,ECom[[#This Row],[Unit_Price]])</f>
        <v>0</v>
      </c>
      <c r="L12">
        <f>(ECom[[#This Row],[Quantity]]&gt;=3)*(ECom[[#This Row],[Unit_Price]]&gt;=10000)</f>
        <v>0</v>
      </c>
      <c r="M12" t="b">
        <f>OR(ECom[[#This Row],[Quantity]]&gt;=3,ECom[[#This Row],[Unit_Price]]&gt;=10000)</f>
        <v>0</v>
      </c>
      <c r="N12">
        <f>(ECom[[#This Row],[Quantity]]&gt;=3)+(ECom[[#This Row],[Unit_Price]]&gt;= 10000)</f>
        <v>0</v>
      </c>
      <c r="O12">
        <f>IF(ECom[[#This Row],[Returned]]="Yes", 1, 0)</f>
        <v>0</v>
      </c>
      <c r="P12" t="str">
        <f>IF(AND(ECom[[#This Row],[Quantity]]&gt;=3, ECom[[#This Row],[Unit_Price]]&gt;= 10000), "Bulk &amp; Expensive", "Other")</f>
        <v>Other</v>
      </c>
      <c r="Q12" t="str">
        <f>IF((ECom[[#This Row],[Quantity]]&gt;=3)*(ECom[[#This Row],[Unit_Price]]&gt;= 10000), "Bulk &amp; Expensive", "Other")</f>
        <v>Other</v>
      </c>
      <c r="R12" t="str">
        <f>IF(OR(ECom[[#This Row],[Quantity]]&gt;=3, ECom[[#This Row],[Unit_Price]]&gt;= 10000), "Bulk/Expensive", "Other")</f>
        <v>Other</v>
      </c>
      <c r="S12" t="str">
        <f>IF((ECom[[#This Row],[Quantity]]&gt;=3)+(ECom[[#This Row],[Unit_Price]]&gt;= 10000), "Bulk/Expensive", "Other")</f>
        <v>Other</v>
      </c>
      <c r="T12" t="str">
        <f>IF(ECom[[#This Row],[Unit_Price]]&lt;500,"low",IF(ECom[[#This Row],[Unit_Price]]&lt;1000,"MEDIUM",IF(ECom[[#This Row],[Unit_Price]]&lt;5000,"High","premium")))</f>
        <v>High</v>
      </c>
      <c r="U12" t="str" cm="1">
        <f t="array" ref="U12">_xlfn.IFS(ECom[[#This Row],[Unit_Price]]&lt;500,"low",ECom[[#This Row],[Unit_Price]]&lt;1000,"medium",ECom[[#This Row],[Unit_Price]]&lt;5000,"high",TRUE,"premium")</f>
        <v>high</v>
      </c>
      <c r="V12" t="str" cm="1">
        <f t="array" ref="V12">_xlfn.SWITCH(TRUE, ECom[[#This Row],[Unit_Price]]&lt;500, "Low", ECom[[#This Row],[Unit_Price]]&lt;1000, "Medium", ECom[[#This Row],[Unit_Price]]&lt;5000, "High", "Premium")</f>
        <v>High</v>
      </c>
      <c r="W12" t="str" cm="1">
        <f t="array" ref="W12">_xlfn.SWITCH(ECom[[#This Row],[Order_Status]],"DELIVERED","1","PROCESSING","2","RETURNED","3","SHIPPED","4","CANCELLED","5")</f>
        <v>2</v>
      </c>
    </row>
    <row r="13" spans="1:23" x14ac:dyDescent="0.25">
      <c r="A13" t="s">
        <v>38</v>
      </c>
      <c r="B13" t="s">
        <v>39</v>
      </c>
      <c r="C13" t="s">
        <v>9</v>
      </c>
      <c r="D13">
        <v>1</v>
      </c>
      <c r="E13" s="1">
        <v>55000</v>
      </c>
      <c r="F13" t="s">
        <v>10</v>
      </c>
      <c r="G13" t="s">
        <v>11</v>
      </c>
      <c r="I13" t="b">
        <f>NOT(ECom[[#This Row],[Category]]="electronics")</f>
        <v>0</v>
      </c>
      <c r="J13" t="b">
        <f>ECom[[#This Row],[Category]]&lt;&gt;"electronics"</f>
        <v>0</v>
      </c>
      <c r="K13" t="b">
        <f>AND(ECom[[#This Row],[Quantity]]&gt;=3,ECom[[#This Row],[Unit_Price]])</f>
        <v>0</v>
      </c>
      <c r="L13">
        <f>(ECom[[#This Row],[Quantity]]&gt;=3)*(ECom[[#This Row],[Unit_Price]]&gt;=10000)</f>
        <v>0</v>
      </c>
      <c r="M13" t="b">
        <f>OR(ECom[[#This Row],[Quantity]]&gt;=3,ECom[[#This Row],[Unit_Price]]&gt;=10000)</f>
        <v>1</v>
      </c>
      <c r="N13">
        <f>(ECom[[#This Row],[Quantity]]&gt;=3)+(ECom[[#This Row],[Unit_Price]]&gt;= 10000)</f>
        <v>1</v>
      </c>
      <c r="O13">
        <f>IF(ECom[[#This Row],[Returned]]="Yes", 1, 0)</f>
        <v>0</v>
      </c>
      <c r="P13" t="str">
        <f>IF(AND(ECom[[#This Row],[Quantity]]&gt;=3, ECom[[#This Row],[Unit_Price]]&gt;= 10000), "Bulk &amp; Expensive", "Other")</f>
        <v>Other</v>
      </c>
      <c r="Q13" t="str">
        <f>IF((ECom[[#This Row],[Quantity]]&gt;=3)*(ECom[[#This Row],[Unit_Price]]&gt;= 10000), "Bulk &amp; Expensive", "Other")</f>
        <v>Other</v>
      </c>
      <c r="R13" t="str">
        <f>IF(OR(ECom[[#This Row],[Quantity]]&gt;=3, ECom[[#This Row],[Unit_Price]]&gt;= 10000), "Bulk/Expensive", "Other")</f>
        <v>Bulk/Expensive</v>
      </c>
      <c r="S13" t="str">
        <f>IF((ECom[[#This Row],[Quantity]]&gt;=3)+(ECom[[#This Row],[Unit_Price]]&gt;= 10000), "Bulk/Expensive", "Other")</f>
        <v>Bulk/Expensive</v>
      </c>
      <c r="T13" t="str">
        <f>IF(ECom[[#This Row],[Unit_Price]]&lt;500,"low",IF(ECom[[#This Row],[Unit_Price]]&lt;1000,"MEDIUM",IF(ECom[[#This Row],[Unit_Price]]&lt;5000,"High","premium")))</f>
        <v>premium</v>
      </c>
      <c r="U13" t="str" cm="1">
        <f t="array" ref="U13">_xlfn.IFS(ECom[[#This Row],[Unit_Price]]&lt;500,"low",ECom[[#This Row],[Unit_Price]]&lt;1000,"medium",ECom[[#This Row],[Unit_Price]]&lt;5000,"high",TRUE,"premium")</f>
        <v>premium</v>
      </c>
      <c r="V13" t="str" cm="1">
        <f t="array" ref="V13">_xlfn.SWITCH(TRUE, ECom[[#This Row],[Unit_Price]]&lt;500, "Low", ECom[[#This Row],[Unit_Price]]&lt;1000, "Medium", ECom[[#This Row],[Unit_Price]]&lt;5000, "High", "Premium")</f>
        <v>Premium</v>
      </c>
      <c r="W13" t="str" cm="1">
        <f t="array" ref="W13">_xlfn.SWITCH(ECom[[#This Row],[Order_Status]],"DELIVERED","1","PROCESSING","2","RETURNED","3","SHIPPED","4","CANCELLED","5")</f>
        <v>1</v>
      </c>
    </row>
    <row r="14" spans="1:23" x14ac:dyDescent="0.25">
      <c r="A14" t="s">
        <v>40</v>
      </c>
      <c r="B14" t="s">
        <v>41</v>
      </c>
      <c r="C14" t="s">
        <v>29</v>
      </c>
      <c r="D14">
        <v>5</v>
      </c>
      <c r="E14" s="1">
        <v>2200</v>
      </c>
      <c r="F14" t="s">
        <v>6</v>
      </c>
      <c r="G14" t="s">
        <v>18</v>
      </c>
      <c r="I14" t="b">
        <f>NOT(ECom[[#This Row],[Category]]="electronics")</f>
        <v>1</v>
      </c>
      <c r="J14" t="b">
        <f>ECom[[#This Row],[Category]]&lt;&gt;"electronics"</f>
        <v>1</v>
      </c>
      <c r="K14" t="b">
        <f>AND(ECom[[#This Row],[Quantity]]&gt;=3,ECom[[#This Row],[Unit_Price]])</f>
        <v>1</v>
      </c>
      <c r="L14">
        <f>(ECom[[#This Row],[Quantity]]&gt;=3)*(ECom[[#This Row],[Unit_Price]]&gt;=10000)</f>
        <v>0</v>
      </c>
      <c r="M14" t="b">
        <f>OR(ECom[[#This Row],[Quantity]]&gt;=3,ECom[[#This Row],[Unit_Price]]&gt;=10000)</f>
        <v>1</v>
      </c>
      <c r="N14">
        <f>(ECom[[#This Row],[Quantity]]&gt;=3)+(ECom[[#This Row],[Unit_Price]]&gt;= 10000)</f>
        <v>1</v>
      </c>
      <c r="O14">
        <f>IF(ECom[[#This Row],[Returned]]="Yes", 1, 0)</f>
        <v>1</v>
      </c>
      <c r="P14" t="str">
        <f>IF(AND(ECom[[#This Row],[Quantity]]&gt;=3, ECom[[#This Row],[Unit_Price]]&gt;= 10000), "Bulk &amp; Expensive", "Other")</f>
        <v>Other</v>
      </c>
      <c r="Q14" t="str">
        <f>IF((ECom[[#This Row],[Quantity]]&gt;=3)*(ECom[[#This Row],[Unit_Price]]&gt;= 10000), "Bulk &amp; Expensive", "Other")</f>
        <v>Other</v>
      </c>
      <c r="R14" t="str">
        <f>IF(OR(ECom[[#This Row],[Quantity]]&gt;=3, ECom[[#This Row],[Unit_Price]]&gt;= 10000), "Bulk/Expensive", "Other")</f>
        <v>Bulk/Expensive</v>
      </c>
      <c r="S14" t="str">
        <f>IF((ECom[[#This Row],[Quantity]]&gt;=3)+(ECom[[#This Row],[Unit_Price]]&gt;= 10000), "Bulk/Expensive", "Other")</f>
        <v>Bulk/Expensive</v>
      </c>
      <c r="T14" t="str">
        <f>IF(ECom[[#This Row],[Unit_Price]]&lt;500,"low",IF(ECom[[#This Row],[Unit_Price]]&lt;1000,"MEDIUM",IF(ECom[[#This Row],[Unit_Price]]&lt;5000,"High","premium")))</f>
        <v>High</v>
      </c>
      <c r="U14" t="str" cm="1">
        <f t="array" ref="U14">_xlfn.IFS(ECom[[#This Row],[Unit_Price]]&lt;500,"low",ECom[[#This Row],[Unit_Price]]&lt;1000,"medium",ECom[[#This Row],[Unit_Price]]&lt;5000,"high",TRUE,"premium")</f>
        <v>high</v>
      </c>
      <c r="V14" t="str" cm="1">
        <f t="array" ref="V14">_xlfn.SWITCH(TRUE, ECom[[#This Row],[Unit_Price]]&lt;500, "Low", ECom[[#This Row],[Unit_Price]]&lt;1000, "Medium", ECom[[#This Row],[Unit_Price]]&lt;5000, "High", "Premium")</f>
        <v>High</v>
      </c>
      <c r="W14" t="str" cm="1">
        <f t="array" ref="W14">_xlfn.SWITCH(ECom[[#This Row],[Order_Status]],"DELIVERED","1","PROCESSING","2","RETURNED","3","SHIPPED","4","CANCELLED","5")</f>
        <v>3</v>
      </c>
    </row>
    <row r="15" spans="1:23" x14ac:dyDescent="0.25">
      <c r="A15" t="s">
        <v>42</v>
      </c>
      <c r="B15" t="s">
        <v>43</v>
      </c>
      <c r="C15" t="s">
        <v>9</v>
      </c>
      <c r="D15">
        <v>2</v>
      </c>
      <c r="E15" s="1">
        <v>55000</v>
      </c>
      <c r="F15" t="s">
        <v>10</v>
      </c>
      <c r="G15" t="s">
        <v>11</v>
      </c>
      <c r="I15" t="b">
        <f>NOT(ECom[[#This Row],[Category]]="electronics")</f>
        <v>0</v>
      </c>
      <c r="J15" t="b">
        <f>ECom[[#This Row],[Category]]&lt;&gt;"electronics"</f>
        <v>0</v>
      </c>
      <c r="K15" t="b">
        <f>AND(ECom[[#This Row],[Quantity]]&gt;=3,ECom[[#This Row],[Unit_Price]])</f>
        <v>0</v>
      </c>
      <c r="L15">
        <f>(ECom[[#This Row],[Quantity]]&gt;=3)*(ECom[[#This Row],[Unit_Price]]&gt;=10000)</f>
        <v>0</v>
      </c>
      <c r="M15" t="b">
        <f>OR(ECom[[#This Row],[Quantity]]&gt;=3,ECom[[#This Row],[Unit_Price]]&gt;=10000)</f>
        <v>1</v>
      </c>
      <c r="N15">
        <f>(ECom[[#This Row],[Quantity]]&gt;=3)+(ECom[[#This Row],[Unit_Price]]&gt;= 10000)</f>
        <v>1</v>
      </c>
      <c r="O15">
        <f>IF(ECom[[#This Row],[Returned]]="Yes", 1, 0)</f>
        <v>0</v>
      </c>
      <c r="P15" t="str">
        <f>IF(AND(ECom[[#This Row],[Quantity]]&gt;=3, ECom[[#This Row],[Unit_Price]]&gt;= 10000), "Bulk &amp; Expensive", "Other")</f>
        <v>Other</v>
      </c>
      <c r="Q15" t="str">
        <f>IF((ECom[[#This Row],[Quantity]]&gt;=3)*(ECom[[#This Row],[Unit_Price]]&gt;= 10000), "Bulk &amp; Expensive", "Other")</f>
        <v>Other</v>
      </c>
      <c r="R15" t="str">
        <f>IF(OR(ECom[[#This Row],[Quantity]]&gt;=3, ECom[[#This Row],[Unit_Price]]&gt;= 10000), "Bulk/Expensive", "Other")</f>
        <v>Bulk/Expensive</v>
      </c>
      <c r="S15" t="str">
        <f>IF((ECom[[#This Row],[Quantity]]&gt;=3)+(ECom[[#This Row],[Unit_Price]]&gt;= 10000), "Bulk/Expensive", "Other")</f>
        <v>Bulk/Expensive</v>
      </c>
      <c r="T15" t="str">
        <f>IF(ECom[[#This Row],[Unit_Price]]&lt;500,"low",IF(ECom[[#This Row],[Unit_Price]]&lt;1000,"MEDIUM",IF(ECom[[#This Row],[Unit_Price]]&lt;5000,"High","premium")))</f>
        <v>premium</v>
      </c>
      <c r="U15" t="str" cm="1">
        <f t="array" ref="U15">_xlfn.IFS(ECom[[#This Row],[Unit_Price]]&lt;500,"low",ECom[[#This Row],[Unit_Price]]&lt;1000,"medium",ECom[[#This Row],[Unit_Price]]&lt;5000,"high",TRUE,"premium")</f>
        <v>premium</v>
      </c>
      <c r="V15" t="str" cm="1">
        <f t="array" ref="V15">_xlfn.SWITCH(TRUE, ECom[[#This Row],[Unit_Price]]&lt;500, "Low", ECom[[#This Row],[Unit_Price]]&lt;1000, "Medium", ECom[[#This Row],[Unit_Price]]&lt;5000, "High", "Premium")</f>
        <v>Premium</v>
      </c>
      <c r="W15" t="str" cm="1">
        <f t="array" ref="W15">_xlfn.SWITCH(ECom[[#This Row],[Order_Status]],"DELIVERED","1","PROCESSING","2","RETURNED","3","SHIPPED","4","CANCELLED","5")</f>
        <v>1</v>
      </c>
    </row>
    <row r="16" spans="1:23" x14ac:dyDescent="0.25">
      <c r="A16" t="s">
        <v>44</v>
      </c>
      <c r="B16" t="s">
        <v>45</v>
      </c>
      <c r="C16" t="s">
        <v>21</v>
      </c>
      <c r="D16">
        <v>2</v>
      </c>
      <c r="E16" s="1">
        <v>800</v>
      </c>
      <c r="F16" t="s">
        <v>24</v>
      </c>
      <c r="G16" t="s">
        <v>11</v>
      </c>
      <c r="I16" t="b">
        <f>NOT(ECom[[#This Row],[Category]]="electronics")</f>
        <v>1</v>
      </c>
      <c r="J16" t="b">
        <f>ECom[[#This Row],[Category]]&lt;&gt;"electronics"</f>
        <v>1</v>
      </c>
      <c r="K16" t="b">
        <f>AND(ECom[[#This Row],[Quantity]]&gt;=3,ECom[[#This Row],[Unit_Price]])</f>
        <v>0</v>
      </c>
      <c r="L16">
        <f>(ECom[[#This Row],[Quantity]]&gt;=3)*(ECom[[#This Row],[Unit_Price]]&gt;=10000)</f>
        <v>0</v>
      </c>
      <c r="M16" t="b">
        <f>OR(ECom[[#This Row],[Quantity]]&gt;=3,ECom[[#This Row],[Unit_Price]]&gt;=10000)</f>
        <v>0</v>
      </c>
      <c r="N16">
        <f>(ECom[[#This Row],[Quantity]]&gt;=3)+(ECom[[#This Row],[Unit_Price]]&gt;= 10000)</f>
        <v>0</v>
      </c>
      <c r="O16">
        <f>IF(ECom[[#This Row],[Returned]]="Yes", 1, 0)</f>
        <v>0</v>
      </c>
      <c r="P16" t="str">
        <f>IF(AND(ECom[[#This Row],[Quantity]]&gt;=3, ECom[[#This Row],[Unit_Price]]&gt;= 10000), "Bulk &amp; Expensive", "Other")</f>
        <v>Other</v>
      </c>
      <c r="Q16" t="str">
        <f>IF((ECom[[#This Row],[Quantity]]&gt;=3)*(ECom[[#This Row],[Unit_Price]]&gt;= 10000), "Bulk &amp; Expensive", "Other")</f>
        <v>Other</v>
      </c>
      <c r="R16" t="str">
        <f>IF(OR(ECom[[#This Row],[Quantity]]&gt;=3, ECom[[#This Row],[Unit_Price]]&gt;= 10000), "Bulk/Expensive", "Other")</f>
        <v>Other</v>
      </c>
      <c r="S16" t="str">
        <f>IF((ECom[[#This Row],[Quantity]]&gt;=3)+(ECom[[#This Row],[Unit_Price]]&gt;= 10000), "Bulk/Expensive", "Other")</f>
        <v>Other</v>
      </c>
      <c r="T16" t="str">
        <f>IF(ECom[[#This Row],[Unit_Price]]&lt;500,"low",IF(ECom[[#This Row],[Unit_Price]]&lt;1000,"MEDIUM",IF(ECom[[#This Row],[Unit_Price]]&lt;5000,"High","premium")))</f>
        <v>MEDIUM</v>
      </c>
      <c r="U16" t="str" cm="1">
        <f t="array" ref="U16">_xlfn.IFS(ECom[[#This Row],[Unit_Price]]&lt;500,"low",ECom[[#This Row],[Unit_Price]]&lt;1000,"medium",ECom[[#This Row],[Unit_Price]]&lt;5000,"high",TRUE,"premium")</f>
        <v>medium</v>
      </c>
      <c r="V16" t="str" cm="1">
        <f t="array" ref="V16">_xlfn.SWITCH(TRUE, ECom[[#This Row],[Unit_Price]]&lt;500, "Low", ECom[[#This Row],[Unit_Price]]&lt;1000, "Medium", ECom[[#This Row],[Unit_Price]]&lt;5000, "High", "Premium")</f>
        <v>Medium</v>
      </c>
      <c r="W16" t="str" cm="1">
        <f t="array" ref="W16">_xlfn.SWITCH(ECom[[#This Row],[Order_Status]],"DELIVERED","1","PROCESSING","2","RETURNED","3","SHIPPED","4","CANCELLED","5")</f>
        <v>4</v>
      </c>
    </row>
    <row r="17" spans="1:23" x14ac:dyDescent="0.25">
      <c r="A17" t="s">
        <v>46</v>
      </c>
      <c r="B17" t="s">
        <v>47</v>
      </c>
      <c r="C17" t="s">
        <v>21</v>
      </c>
      <c r="D17">
        <v>2</v>
      </c>
      <c r="E17" s="1">
        <v>1200</v>
      </c>
      <c r="F17" t="s">
        <v>48</v>
      </c>
      <c r="G17" t="s">
        <v>18</v>
      </c>
      <c r="I17" t="b">
        <f>NOT(ECom[[#This Row],[Category]]="electronics")</f>
        <v>1</v>
      </c>
      <c r="J17" t="b">
        <f>ECom[[#This Row],[Category]]&lt;&gt;"electronics"</f>
        <v>1</v>
      </c>
      <c r="K17" t="b">
        <f>AND(ECom[[#This Row],[Quantity]]&gt;=3,ECom[[#This Row],[Unit_Price]])</f>
        <v>0</v>
      </c>
      <c r="L17">
        <f>(ECom[[#This Row],[Quantity]]&gt;=3)*(ECom[[#This Row],[Unit_Price]]&gt;=10000)</f>
        <v>0</v>
      </c>
      <c r="M17" t="b">
        <f>OR(ECom[[#This Row],[Quantity]]&gt;=3,ECom[[#This Row],[Unit_Price]]&gt;=10000)</f>
        <v>0</v>
      </c>
      <c r="N17">
        <f>(ECom[[#This Row],[Quantity]]&gt;=3)+(ECom[[#This Row],[Unit_Price]]&gt;= 10000)</f>
        <v>0</v>
      </c>
      <c r="O17">
        <f>IF(ECom[[#This Row],[Returned]]="Yes", 1, 0)</f>
        <v>1</v>
      </c>
      <c r="P17" t="str">
        <f>IF(AND(ECom[[#This Row],[Quantity]]&gt;=3, ECom[[#This Row],[Unit_Price]]&gt;= 10000), "Bulk &amp; Expensive", "Other")</f>
        <v>Other</v>
      </c>
      <c r="Q17" t="str">
        <f>IF((ECom[[#This Row],[Quantity]]&gt;=3)*(ECom[[#This Row],[Unit_Price]]&gt;= 10000), "Bulk &amp; Expensive", "Other")</f>
        <v>Other</v>
      </c>
      <c r="R17" t="str">
        <f>IF(OR(ECom[[#This Row],[Quantity]]&gt;=3, ECom[[#This Row],[Unit_Price]]&gt;= 10000), "Bulk/Expensive", "Other")</f>
        <v>Other</v>
      </c>
      <c r="S17" t="str">
        <f>IF((ECom[[#This Row],[Quantity]]&gt;=3)+(ECom[[#This Row],[Unit_Price]]&gt;= 10000), "Bulk/Expensive", "Other")</f>
        <v>Other</v>
      </c>
      <c r="T17" t="str">
        <f>IF(ECom[[#This Row],[Unit_Price]]&lt;500,"low",IF(ECom[[#This Row],[Unit_Price]]&lt;1000,"MEDIUM",IF(ECom[[#This Row],[Unit_Price]]&lt;5000,"High","premium")))</f>
        <v>High</v>
      </c>
      <c r="U17" t="str" cm="1">
        <f t="array" ref="U17">_xlfn.IFS(ECom[[#This Row],[Unit_Price]]&lt;500,"low",ECom[[#This Row],[Unit_Price]]&lt;1000,"medium",ECom[[#This Row],[Unit_Price]]&lt;5000,"high",TRUE,"premium")</f>
        <v>high</v>
      </c>
      <c r="V17" t="str" cm="1">
        <f t="array" ref="V17">_xlfn.SWITCH(TRUE, ECom[[#This Row],[Unit_Price]]&lt;500, "Low", ECom[[#This Row],[Unit_Price]]&lt;1000, "Medium", ECom[[#This Row],[Unit_Price]]&lt;5000, "High", "Premium")</f>
        <v>High</v>
      </c>
      <c r="W17" t="str" cm="1">
        <f t="array" ref="W17">_xlfn.SWITCH(ECom[[#This Row],[Order_Status]],"DELIVERED","1","PROCESSING","2","RETURNED","3","SHIPPED","4","CANCELLED","5")</f>
        <v>5</v>
      </c>
    </row>
    <row r="18" spans="1:23" x14ac:dyDescent="0.25">
      <c r="A18" t="s">
        <v>49</v>
      </c>
      <c r="B18" t="s">
        <v>50</v>
      </c>
      <c r="C18" t="s">
        <v>9</v>
      </c>
      <c r="D18">
        <v>3</v>
      </c>
      <c r="E18" s="1">
        <v>18000</v>
      </c>
      <c r="F18" t="s">
        <v>10</v>
      </c>
      <c r="G18" t="s">
        <v>11</v>
      </c>
      <c r="I18" t="b">
        <f>NOT(ECom[[#This Row],[Category]]="electronics")</f>
        <v>0</v>
      </c>
      <c r="J18" t="b">
        <f>ECom[[#This Row],[Category]]&lt;&gt;"electronics"</f>
        <v>0</v>
      </c>
      <c r="K18" t="b">
        <f>AND(ECom[[#This Row],[Quantity]]&gt;=3,ECom[[#This Row],[Unit_Price]])</f>
        <v>1</v>
      </c>
      <c r="L18">
        <f>(ECom[[#This Row],[Quantity]]&gt;=3)*(ECom[[#This Row],[Unit_Price]]&gt;=10000)</f>
        <v>1</v>
      </c>
      <c r="M18" t="b">
        <f>OR(ECom[[#This Row],[Quantity]]&gt;=3,ECom[[#This Row],[Unit_Price]]&gt;=10000)</f>
        <v>1</v>
      </c>
      <c r="N18">
        <f>(ECom[[#This Row],[Quantity]]&gt;=3)+(ECom[[#This Row],[Unit_Price]]&gt;= 10000)</f>
        <v>2</v>
      </c>
      <c r="O18">
        <f>IF(ECom[[#This Row],[Returned]]="Yes", 1, 0)</f>
        <v>0</v>
      </c>
      <c r="P18" t="str">
        <f>IF(AND(ECom[[#This Row],[Quantity]]&gt;=3, ECom[[#This Row],[Unit_Price]]&gt;= 10000), "Bulk &amp; Expensive", "Other")</f>
        <v>Bulk &amp; Expensive</v>
      </c>
      <c r="Q18" t="str">
        <f>IF((ECom[[#This Row],[Quantity]]&gt;=3)*(ECom[[#This Row],[Unit_Price]]&gt;= 10000), "Bulk &amp; Expensive", "Other")</f>
        <v>Bulk &amp; Expensive</v>
      </c>
      <c r="R18" t="str">
        <f>IF(OR(ECom[[#This Row],[Quantity]]&gt;=3, ECom[[#This Row],[Unit_Price]]&gt;= 10000), "Bulk/Expensive", "Other")</f>
        <v>Bulk/Expensive</v>
      </c>
      <c r="S18" t="str">
        <f>IF((ECom[[#This Row],[Quantity]]&gt;=3)+(ECom[[#This Row],[Unit_Price]]&gt;= 10000), "Bulk/Expensive", "Other")</f>
        <v>Bulk/Expensive</v>
      </c>
      <c r="T18" t="str">
        <f>IF(ECom[[#This Row],[Unit_Price]]&lt;500,"low",IF(ECom[[#This Row],[Unit_Price]]&lt;1000,"MEDIUM",IF(ECom[[#This Row],[Unit_Price]]&lt;5000,"High","premium")))</f>
        <v>premium</v>
      </c>
      <c r="U18" t="str" cm="1">
        <f t="array" ref="U18">_xlfn.IFS(ECom[[#This Row],[Unit_Price]]&lt;500,"low",ECom[[#This Row],[Unit_Price]]&lt;1000,"medium",ECom[[#This Row],[Unit_Price]]&lt;5000,"high",TRUE,"premium")</f>
        <v>premium</v>
      </c>
      <c r="V18" t="str" cm="1">
        <f t="array" ref="V18">_xlfn.SWITCH(TRUE, ECom[[#This Row],[Unit_Price]]&lt;500, "Low", ECom[[#This Row],[Unit_Price]]&lt;1000, "Medium", ECom[[#This Row],[Unit_Price]]&lt;5000, "High", "Premium")</f>
        <v>Premium</v>
      </c>
      <c r="W18" t="str" cm="1">
        <f t="array" ref="W18">_xlfn.SWITCH(ECom[[#This Row],[Order_Status]],"DELIVERED","1","PROCESSING","2","RETURNED","3","SHIPPED","4","CANCELLED","5")</f>
        <v>1</v>
      </c>
    </row>
    <row r="19" spans="1:23" x14ac:dyDescent="0.25">
      <c r="A19" t="s">
        <v>51</v>
      </c>
      <c r="B19" t="s">
        <v>52</v>
      </c>
      <c r="C19" t="s">
        <v>21</v>
      </c>
      <c r="D19">
        <v>2</v>
      </c>
      <c r="E19" s="1">
        <v>800</v>
      </c>
      <c r="F19" t="s">
        <v>6</v>
      </c>
      <c r="G19" t="s">
        <v>18</v>
      </c>
      <c r="I19" t="b">
        <f>NOT(ECom[[#This Row],[Category]]="electronics")</f>
        <v>1</v>
      </c>
      <c r="J19" t="b">
        <f>ECom[[#This Row],[Category]]&lt;&gt;"electronics"</f>
        <v>1</v>
      </c>
      <c r="K19" t="b">
        <f>AND(ECom[[#This Row],[Quantity]]&gt;=3,ECom[[#This Row],[Unit_Price]])</f>
        <v>0</v>
      </c>
      <c r="L19">
        <f>(ECom[[#This Row],[Quantity]]&gt;=3)*(ECom[[#This Row],[Unit_Price]]&gt;=10000)</f>
        <v>0</v>
      </c>
      <c r="M19" t="b">
        <f>OR(ECom[[#This Row],[Quantity]]&gt;=3,ECom[[#This Row],[Unit_Price]]&gt;=10000)</f>
        <v>0</v>
      </c>
      <c r="N19">
        <f>(ECom[[#This Row],[Quantity]]&gt;=3)+(ECom[[#This Row],[Unit_Price]]&gt;= 10000)</f>
        <v>0</v>
      </c>
      <c r="O19">
        <f>IF(ECom[[#This Row],[Returned]]="Yes", 1, 0)</f>
        <v>1</v>
      </c>
      <c r="P19" t="str">
        <f>IF(AND(ECom[[#This Row],[Quantity]]&gt;=3, ECom[[#This Row],[Unit_Price]]&gt;= 10000), "Bulk &amp; Expensive", "Other")</f>
        <v>Other</v>
      </c>
      <c r="Q19" t="str">
        <f>IF((ECom[[#This Row],[Quantity]]&gt;=3)*(ECom[[#This Row],[Unit_Price]]&gt;= 10000), "Bulk &amp; Expensive", "Other")</f>
        <v>Other</v>
      </c>
      <c r="R19" t="str">
        <f>IF(OR(ECom[[#This Row],[Quantity]]&gt;=3, ECom[[#This Row],[Unit_Price]]&gt;= 10000), "Bulk/Expensive", "Other")</f>
        <v>Other</v>
      </c>
      <c r="S19" t="str">
        <f>IF((ECom[[#This Row],[Quantity]]&gt;=3)+(ECom[[#This Row],[Unit_Price]]&gt;= 10000), "Bulk/Expensive", "Other")</f>
        <v>Other</v>
      </c>
      <c r="T19" t="str">
        <f>IF(ECom[[#This Row],[Unit_Price]]&lt;500,"low",IF(ECom[[#This Row],[Unit_Price]]&lt;1000,"MEDIUM",IF(ECom[[#This Row],[Unit_Price]]&lt;5000,"High","premium")))</f>
        <v>MEDIUM</v>
      </c>
      <c r="U19" t="str" cm="1">
        <f t="array" ref="U19">_xlfn.IFS(ECom[[#This Row],[Unit_Price]]&lt;500,"low",ECom[[#This Row],[Unit_Price]]&lt;1000,"medium",ECom[[#This Row],[Unit_Price]]&lt;5000,"high",TRUE,"premium")</f>
        <v>medium</v>
      </c>
      <c r="V19" t="str" cm="1">
        <f t="array" ref="V19">_xlfn.SWITCH(TRUE, ECom[[#This Row],[Unit_Price]]&lt;500, "Low", ECom[[#This Row],[Unit_Price]]&lt;1000, "Medium", ECom[[#This Row],[Unit_Price]]&lt;5000, "High", "Premium")</f>
        <v>Medium</v>
      </c>
      <c r="W19" t="str" cm="1">
        <f t="array" ref="W19">_xlfn.SWITCH(ECom[[#This Row],[Order_Status]],"DELIVERED","1","PROCESSING","2","RETURNED","3","SHIPPED","4","CANCELLED","5")</f>
        <v>3</v>
      </c>
    </row>
    <row r="20" spans="1:23" x14ac:dyDescent="0.25">
      <c r="A20" t="s">
        <v>53</v>
      </c>
      <c r="B20" t="s">
        <v>54</v>
      </c>
      <c r="C20" t="s">
        <v>9</v>
      </c>
      <c r="D20">
        <v>5</v>
      </c>
      <c r="E20" s="1">
        <v>3500</v>
      </c>
      <c r="F20" t="s">
        <v>14</v>
      </c>
      <c r="G20" t="s">
        <v>11</v>
      </c>
      <c r="I20" t="b">
        <f>NOT(ECom[[#This Row],[Category]]="electronics")</f>
        <v>0</v>
      </c>
      <c r="J20" t="b">
        <f>ECom[[#This Row],[Category]]&lt;&gt;"electronics"</f>
        <v>0</v>
      </c>
      <c r="K20" t="b">
        <f>AND(ECom[[#This Row],[Quantity]]&gt;=3,ECom[[#This Row],[Unit_Price]])</f>
        <v>1</v>
      </c>
      <c r="L20">
        <f>(ECom[[#This Row],[Quantity]]&gt;=3)*(ECom[[#This Row],[Unit_Price]]&gt;=10000)</f>
        <v>0</v>
      </c>
      <c r="M20" t="b">
        <f>OR(ECom[[#This Row],[Quantity]]&gt;=3,ECom[[#This Row],[Unit_Price]]&gt;=10000)</f>
        <v>1</v>
      </c>
      <c r="N20">
        <f>(ECom[[#This Row],[Quantity]]&gt;=3)+(ECom[[#This Row],[Unit_Price]]&gt;= 10000)</f>
        <v>1</v>
      </c>
      <c r="O20">
        <f>IF(ECom[[#This Row],[Returned]]="Yes", 1, 0)</f>
        <v>0</v>
      </c>
      <c r="P20" t="str">
        <f>IF(AND(ECom[[#This Row],[Quantity]]&gt;=3, ECom[[#This Row],[Unit_Price]]&gt;= 10000), "Bulk &amp; Expensive", "Other")</f>
        <v>Other</v>
      </c>
      <c r="Q20" t="str">
        <f>IF((ECom[[#This Row],[Quantity]]&gt;=3)*(ECom[[#This Row],[Unit_Price]]&gt;= 10000), "Bulk &amp; Expensive", "Other")</f>
        <v>Other</v>
      </c>
      <c r="R20" t="str">
        <f>IF(OR(ECom[[#This Row],[Quantity]]&gt;=3, ECom[[#This Row],[Unit_Price]]&gt;= 10000), "Bulk/Expensive", "Other")</f>
        <v>Bulk/Expensive</v>
      </c>
      <c r="S20" t="str">
        <f>IF((ECom[[#This Row],[Quantity]]&gt;=3)+(ECom[[#This Row],[Unit_Price]]&gt;= 10000), "Bulk/Expensive", "Other")</f>
        <v>Bulk/Expensive</v>
      </c>
      <c r="T20" t="str">
        <f>IF(ECom[[#This Row],[Unit_Price]]&lt;500,"low",IF(ECom[[#This Row],[Unit_Price]]&lt;1000,"MEDIUM",IF(ECom[[#This Row],[Unit_Price]]&lt;5000,"High","premium")))</f>
        <v>High</v>
      </c>
      <c r="U20" t="str" cm="1">
        <f t="array" ref="U20">_xlfn.IFS(ECom[[#This Row],[Unit_Price]]&lt;500,"low",ECom[[#This Row],[Unit_Price]]&lt;1000,"medium",ECom[[#This Row],[Unit_Price]]&lt;5000,"high",TRUE,"premium")</f>
        <v>high</v>
      </c>
      <c r="V20" t="str" cm="1">
        <f t="array" ref="V20">_xlfn.SWITCH(TRUE, ECom[[#This Row],[Unit_Price]]&lt;500, "Low", ECom[[#This Row],[Unit_Price]]&lt;1000, "Medium", ECom[[#This Row],[Unit_Price]]&lt;5000, "High", "Premium")</f>
        <v>High</v>
      </c>
      <c r="W20" t="str" cm="1">
        <f t="array" ref="W20">_xlfn.SWITCH(ECom[[#This Row],[Order_Status]],"DELIVERED","1","PROCESSING","2","RETURNED","3","SHIPPED","4","CANCELLED","5")</f>
        <v>2</v>
      </c>
    </row>
    <row r="21" spans="1:23" x14ac:dyDescent="0.25">
      <c r="A21" t="s">
        <v>55</v>
      </c>
      <c r="B21" t="s">
        <v>56</v>
      </c>
      <c r="C21" t="s">
        <v>9</v>
      </c>
      <c r="D21">
        <v>3</v>
      </c>
      <c r="E21" s="1">
        <v>3500</v>
      </c>
      <c r="F21" t="s">
        <v>24</v>
      </c>
      <c r="G21" t="s">
        <v>11</v>
      </c>
      <c r="I21" t="b">
        <f>NOT(ECom[[#This Row],[Category]]="electronics")</f>
        <v>0</v>
      </c>
      <c r="J21" t="b">
        <f>ECom[[#This Row],[Category]]&lt;&gt;"electronics"</f>
        <v>0</v>
      </c>
      <c r="K21" t="b">
        <f>AND(ECom[[#This Row],[Quantity]]&gt;=3,ECom[[#This Row],[Unit_Price]])</f>
        <v>1</v>
      </c>
      <c r="L21">
        <f>(ECom[[#This Row],[Quantity]]&gt;=3)*(ECom[[#This Row],[Unit_Price]]&gt;=10000)</f>
        <v>0</v>
      </c>
      <c r="M21" t="b">
        <f>OR(ECom[[#This Row],[Quantity]]&gt;=3,ECom[[#This Row],[Unit_Price]]&gt;=10000)</f>
        <v>1</v>
      </c>
      <c r="N21">
        <f>(ECom[[#This Row],[Quantity]]&gt;=3)+(ECom[[#This Row],[Unit_Price]]&gt;= 10000)</f>
        <v>1</v>
      </c>
      <c r="O21">
        <f>IF(ECom[[#This Row],[Returned]]="Yes", 1, 0)</f>
        <v>0</v>
      </c>
      <c r="P21" t="str">
        <f>IF(AND(ECom[[#This Row],[Quantity]]&gt;=3, ECom[[#This Row],[Unit_Price]]&gt;= 10000), "Bulk &amp; Expensive", "Other")</f>
        <v>Other</v>
      </c>
      <c r="Q21" t="str">
        <f>IF((ECom[[#This Row],[Quantity]]&gt;=3)*(ECom[[#This Row],[Unit_Price]]&gt;= 10000), "Bulk &amp; Expensive", "Other")</f>
        <v>Other</v>
      </c>
      <c r="R21" t="str">
        <f>IF(OR(ECom[[#This Row],[Quantity]]&gt;=3, ECom[[#This Row],[Unit_Price]]&gt;= 10000), "Bulk/Expensive", "Other")</f>
        <v>Bulk/Expensive</v>
      </c>
      <c r="S21" t="str">
        <f>IF((ECom[[#This Row],[Quantity]]&gt;=3)+(ECom[[#This Row],[Unit_Price]]&gt;= 10000), "Bulk/Expensive", "Other")</f>
        <v>Bulk/Expensive</v>
      </c>
      <c r="T21" t="str">
        <f>IF(ECom[[#This Row],[Unit_Price]]&lt;500,"low",IF(ECom[[#This Row],[Unit_Price]]&lt;1000,"MEDIUM",IF(ECom[[#This Row],[Unit_Price]]&lt;5000,"High","premium")))</f>
        <v>High</v>
      </c>
      <c r="U21" t="str" cm="1">
        <f t="array" ref="U21">_xlfn.IFS(ECom[[#This Row],[Unit_Price]]&lt;500,"low",ECom[[#This Row],[Unit_Price]]&lt;1000,"medium",ECom[[#This Row],[Unit_Price]]&lt;5000,"high",TRUE,"premium")</f>
        <v>high</v>
      </c>
      <c r="V21" t="str" cm="1">
        <f t="array" ref="V21">_xlfn.SWITCH(TRUE, ECom[[#This Row],[Unit_Price]]&lt;500, "Low", ECom[[#This Row],[Unit_Price]]&lt;1000, "Medium", ECom[[#This Row],[Unit_Price]]&lt;5000, "High", "Premium")</f>
        <v>High</v>
      </c>
      <c r="W21" t="str" cm="1">
        <f t="array" ref="W21">_xlfn.SWITCH(ECom[[#This Row],[Order_Status]],"DELIVERED","1","PROCESSING","2","RETURNED","3","SHIPPED","4","CANCELLED","5")</f>
        <v>4</v>
      </c>
    </row>
  </sheetData>
  <mergeCells count="2">
    <mergeCell ref="O1:S1"/>
    <mergeCell ref="V1:W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ASDC12</cp:lastModifiedBy>
  <dcterms:created xsi:type="dcterms:W3CDTF">2026-10-05T06:25:44Z</dcterms:created>
  <dcterms:modified xsi:type="dcterms:W3CDTF">2026-10-18T12:25:26Z</dcterms:modified>
</cp:coreProperties>
</file>