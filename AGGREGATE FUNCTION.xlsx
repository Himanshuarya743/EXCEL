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5\Desktop\Sanj Power BI\Sanj\New folder\HIMANSHUDA24\"/>
    </mc:Choice>
  </mc:AlternateContent>
  <xr:revisionPtr revIDLastSave="0" documentId="8_{31726E94-830D-4169-B74A-33B08EEB3A12}" xr6:coauthVersionLast="47" xr6:coauthVersionMax="47" xr10:uidLastSave="{00000000-0000-0000-0000-000000000000}"/>
  <bookViews>
    <workbookView xWindow="-120" yWindow="-120" windowWidth="29040" windowHeight="15720" activeTab="1" xr2:uid="{5E6578A4-4975-46B7-A5AE-5C966CE051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2" l="1"/>
  <c r="S3" i="2"/>
  <c r="K7" i="2"/>
  <c r="K6" i="2"/>
  <c r="K5" i="2"/>
  <c r="Q2" i="2"/>
  <c r="S2" i="2"/>
  <c r="O2" i="2"/>
  <c r="M2" i="2"/>
  <c r="K2" i="2"/>
  <c r="M5" i="2"/>
  <c r="O5" i="2"/>
  <c r="Q5" i="2"/>
  <c r="S5" i="2"/>
  <c r="O6" i="2"/>
  <c r="K8" i="2"/>
  <c r="K9" i="2" a="1"/>
  <c r="K9" i="2" s="1"/>
  <c r="O9" i="2"/>
  <c r="K10" i="2"/>
  <c r="M10" i="2"/>
  <c r="O12" i="2"/>
  <c r="O13" i="2"/>
  <c r="K14" i="2"/>
  <c r="M14" i="2"/>
  <c r="O14" i="2"/>
  <c r="O15" i="2"/>
  <c r="O18" i="2"/>
</calcChain>
</file>

<file path=xl/sharedStrings.xml><?xml version="1.0" encoding="utf-8"?>
<sst xmlns="http://schemas.openxmlformats.org/spreadsheetml/2006/main" count="181" uniqueCount="57">
  <si>
    <t>PRJ-101</t>
  </si>
  <si>
    <t>IT</t>
  </si>
  <si>
    <t>Sarah Jenkins</t>
  </si>
  <si>
    <t>Completed</t>
  </si>
  <si>
    <t>PRJ-102</t>
  </si>
  <si>
    <t>HR</t>
  </si>
  <si>
    <t>Aisha Khan</t>
  </si>
  <si>
    <t>In Progress</t>
  </si>
  <si>
    <t>PRJ-103</t>
  </si>
  <si>
    <t>PRJ-104</t>
  </si>
  <si>
    <t>Operations</t>
  </si>
  <si>
    <t>Mark Torres</t>
  </si>
  <si>
    <t>PRJ-105</t>
  </si>
  <si>
    <t>Finance</t>
  </si>
  <si>
    <t>Delayed</t>
  </si>
  <si>
    <t>PRJ-106</t>
  </si>
  <si>
    <t>PRJ-107</t>
  </si>
  <si>
    <t>PRJ-108</t>
  </si>
  <si>
    <t>PRJ-109</t>
  </si>
  <si>
    <t>PRJ-110</t>
  </si>
  <si>
    <t>PRJ-111</t>
  </si>
  <si>
    <t>PRJ-112</t>
  </si>
  <si>
    <t>PRJ-113</t>
  </si>
  <si>
    <t>PRJ-114</t>
  </si>
  <si>
    <t>Pending</t>
  </si>
  <si>
    <t>PRJ-115</t>
  </si>
  <si>
    <t>PRJ-116</t>
  </si>
  <si>
    <t>PRJ-117</t>
  </si>
  <si>
    <t>PRJ-118</t>
  </si>
  <si>
    <t>PRJ-119</t>
  </si>
  <si>
    <t>PRJ-120</t>
  </si>
  <si>
    <t>Project_ID</t>
  </si>
  <si>
    <t>Department</t>
  </si>
  <si>
    <t>Lead_Owner</t>
  </si>
  <si>
    <t>Status</t>
  </si>
  <si>
    <t>Budget_USD</t>
  </si>
  <si>
    <t>Actual_Spend_USD</t>
  </si>
  <si>
    <t>Target_Days</t>
  </si>
  <si>
    <t>Actual_Days</t>
  </si>
  <si>
    <t>SUM()</t>
  </si>
  <si>
    <t>AVERAGE()</t>
  </si>
  <si>
    <t>COUNT()</t>
  </si>
  <si>
    <t>MIN()</t>
  </si>
  <si>
    <t>MAX()</t>
  </si>
  <si>
    <t>SUMIF()</t>
  </si>
  <si>
    <t>AVERAGEIF()</t>
  </si>
  <si>
    <t>COUNTA()</t>
  </si>
  <si>
    <t>MINIFS()</t>
  </si>
  <si>
    <t>MAXIFS()</t>
  </si>
  <si>
    <t>OR -&gt;</t>
  </si>
  <si>
    <t>COUNTBLANK()</t>
  </si>
  <si>
    <t>Pattern Matching -&gt;</t>
  </si>
  <si>
    <t>COUNTIF()</t>
  </si>
  <si>
    <t>SUMIFS()</t>
  </si>
  <si>
    <t>AVERAGEIFS()</t>
  </si>
  <si>
    <t>AND -&gt;</t>
  </si>
  <si>
    <t>COUNTIFS()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</si>
</sst>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11DDD-6E94-4203-A529-04A2B2515220}" name="Project_Tracker" displayName="Project_Tracker" ref="A1:H21" totalsRowShown="0" headerRowDxfId="0" dataDxfId="1">
  <autoFilter ref="A1:H21" xr:uid="{59E11DDD-6E94-4203-A529-04A2B2515220}"/>
  <tableColumns count="8">
    <tableColumn id="1" xr3:uid="{5E3DD9DE-1654-4B10-ABCF-70FAFD6D86F8}" name="Project_ID" dataDxfId="9"/>
    <tableColumn id="2" xr3:uid="{6A678FF0-EC8F-4660-B55F-6BAB50D122AE}" name="Department" dataDxfId="8"/>
    <tableColumn id="3" xr3:uid="{09C068E8-C1B4-451F-9D67-A1325F101586}" name="Lead_Owner" dataDxfId="7"/>
    <tableColumn id="4" xr3:uid="{DA79F2FF-BA86-4E9B-874D-21B6DD83B955}" name="Status" dataDxfId="6"/>
    <tableColumn id="5" xr3:uid="{B984A5CD-4B49-4327-8750-4A528691241E}" name="Budget_USD" dataDxfId="5"/>
    <tableColumn id="6" xr3:uid="{6FE024C7-4F09-4952-93C6-4736E47A11E3}" name="Actual_Spend_USD" dataDxfId="4"/>
    <tableColumn id="7" xr3:uid="{67ED1965-51CA-4517-BD5B-684D034A9664}" name="Target_Days" dataDxfId="3"/>
    <tableColumn id="8" xr3:uid="{D209CA47-9B07-43F1-8587-DD40802130BD}" name="Actual_Day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C723-3F55-41EA-B49C-0D7788E8AD92}">
  <dimension ref="A1:H20"/>
  <sheetViews>
    <sheetView workbookViewId="0"/>
  </sheetViews>
  <sheetFormatPr defaultRowHeight="15"/>
  <sheetData>
    <row r="1" spans="1:8">
      <c r="A1" s="1"/>
      <c r="B1" s="1" t="s">
        <v>1</v>
      </c>
      <c r="C1" s="1" t="s">
        <v>2</v>
      </c>
      <c r="D1" s="1" t="s">
        <v>3</v>
      </c>
      <c r="E1" s="2">
        <v>45000.5</v>
      </c>
      <c r="F1" s="2">
        <v>42300</v>
      </c>
      <c r="G1" s="1">
        <v>30</v>
      </c>
      <c r="H1" s="1">
        <v>28</v>
      </c>
    </row>
    <row r="2" spans="1:8">
      <c r="A2" s="1" t="s">
        <v>4</v>
      </c>
      <c r="B2" s="1" t="s">
        <v>5</v>
      </c>
      <c r="C2" s="1" t="s">
        <v>6</v>
      </c>
      <c r="D2" s="1" t="s">
        <v>7</v>
      </c>
      <c r="E2" s="2">
        <v>12500</v>
      </c>
      <c r="F2" s="2">
        <v>8400.75</v>
      </c>
      <c r="G2" s="1">
        <v>15</v>
      </c>
      <c r="H2" s="1">
        <v>18</v>
      </c>
    </row>
    <row r="3" spans="1:8">
      <c r="A3" s="1" t="s">
        <v>8</v>
      </c>
      <c r="B3" s="1" t="s">
        <v>1</v>
      </c>
      <c r="C3" s="1" t="s">
        <v>2</v>
      </c>
      <c r="D3" s="1" t="s">
        <v>7</v>
      </c>
      <c r="E3" s="2">
        <v>88000</v>
      </c>
      <c r="F3" s="2">
        <v>61200</v>
      </c>
      <c r="G3" s="1">
        <v>60</v>
      </c>
      <c r="H3" s="1">
        <v>65</v>
      </c>
    </row>
    <row r="4" spans="1:8">
      <c r="A4" s="1" t="s">
        <v>9</v>
      </c>
      <c r="B4" s="1" t="s">
        <v>10</v>
      </c>
      <c r="C4" s="1" t="s">
        <v>11</v>
      </c>
      <c r="D4" s="1" t="s">
        <v>3</v>
      </c>
      <c r="E4" s="2">
        <v>23400.75</v>
      </c>
      <c r="F4" s="2">
        <v>23400.75</v>
      </c>
      <c r="G4" s="1">
        <v>20</v>
      </c>
      <c r="H4" s="1">
        <v>19</v>
      </c>
    </row>
    <row r="5" spans="1:8">
      <c r="A5" s="1" t="s">
        <v>12</v>
      </c>
      <c r="B5" s="1" t="s">
        <v>13</v>
      </c>
      <c r="C5" s="1" t="s">
        <v>2</v>
      </c>
      <c r="D5" s="1" t="s">
        <v>14</v>
      </c>
      <c r="E5" s="2">
        <v>150000</v>
      </c>
      <c r="F5" s="2">
        <v>112000</v>
      </c>
      <c r="G5" s="1">
        <v>90</v>
      </c>
      <c r="H5" s="1">
        <v>105</v>
      </c>
    </row>
    <row r="6" spans="1:8">
      <c r="A6" s="1" t="s">
        <v>15</v>
      </c>
      <c r="B6" s="1" t="s">
        <v>5</v>
      </c>
      <c r="C6" s="1" t="s">
        <v>6</v>
      </c>
      <c r="D6" s="1" t="s">
        <v>3</v>
      </c>
      <c r="E6" s="2">
        <v>8500</v>
      </c>
      <c r="F6" s="2">
        <v>7900.25</v>
      </c>
      <c r="G6" s="1">
        <v>10</v>
      </c>
      <c r="H6" s="1">
        <v>10</v>
      </c>
    </row>
    <row r="7" spans="1:8">
      <c r="A7" s="1" t="s">
        <v>16</v>
      </c>
      <c r="B7" s="1" t="s">
        <v>1</v>
      </c>
      <c r="C7" s="1" t="s">
        <v>11</v>
      </c>
      <c r="D7" s="1"/>
      <c r="E7" s="2">
        <v>34000</v>
      </c>
      <c r="F7" s="1"/>
      <c r="G7" s="1">
        <v>25</v>
      </c>
      <c r="H7" s="1">
        <v>0</v>
      </c>
    </row>
    <row r="8" spans="1:8">
      <c r="A8" s="1" t="s">
        <v>17</v>
      </c>
      <c r="B8" s="1" t="s">
        <v>13</v>
      </c>
      <c r="C8" s="1" t="s">
        <v>2</v>
      </c>
      <c r="D8" s="1" t="s">
        <v>3</v>
      </c>
      <c r="E8" s="2">
        <v>62000.25</v>
      </c>
      <c r="F8" s="2">
        <v>65800.5</v>
      </c>
      <c r="G8" s="1">
        <v>45</v>
      </c>
      <c r="H8" s="1">
        <v>48</v>
      </c>
    </row>
    <row r="9" spans="1:8">
      <c r="A9" s="1" t="s">
        <v>18</v>
      </c>
      <c r="B9" s="1" t="s">
        <v>10</v>
      </c>
      <c r="C9" s="1" t="s">
        <v>6</v>
      </c>
      <c r="D9" s="1" t="s">
        <v>7</v>
      </c>
      <c r="E9" s="2">
        <v>41500</v>
      </c>
      <c r="F9" s="2">
        <v>22100</v>
      </c>
      <c r="G9" s="1">
        <v>30</v>
      </c>
      <c r="H9" s="1">
        <v>32</v>
      </c>
    </row>
    <row r="10" spans="1:8">
      <c r="A10" s="1" t="s">
        <v>19</v>
      </c>
      <c r="B10" s="1" t="s">
        <v>1</v>
      </c>
      <c r="C10" s="1" t="s">
        <v>2</v>
      </c>
      <c r="D10" s="1" t="s">
        <v>3</v>
      </c>
      <c r="E10" s="2">
        <v>95000</v>
      </c>
      <c r="F10" s="2">
        <v>91250</v>
      </c>
      <c r="G10" s="1">
        <v>75</v>
      </c>
      <c r="H10" s="1">
        <v>70</v>
      </c>
    </row>
    <row r="11" spans="1:8">
      <c r="A11" s="1" t="s">
        <v>20</v>
      </c>
      <c r="B11" s="1" t="s">
        <v>5</v>
      </c>
      <c r="C11" s="1" t="s">
        <v>11</v>
      </c>
      <c r="D11" s="1" t="s">
        <v>14</v>
      </c>
      <c r="E11" s="2">
        <v>18000</v>
      </c>
      <c r="F11" s="2">
        <v>19500</v>
      </c>
      <c r="G11" s="1">
        <v>15</v>
      </c>
      <c r="H11" s="1">
        <v>22</v>
      </c>
    </row>
    <row r="12" spans="1:8">
      <c r="A12" s="1" t="s">
        <v>21</v>
      </c>
      <c r="B12" s="1" t="s">
        <v>13</v>
      </c>
      <c r="C12" s="1" t="s">
        <v>6</v>
      </c>
      <c r="D12" s="1" t="s">
        <v>3</v>
      </c>
      <c r="E12" s="2">
        <v>210000</v>
      </c>
      <c r="F12" s="2">
        <v>205000</v>
      </c>
      <c r="G12" s="1">
        <v>120</v>
      </c>
      <c r="H12" s="1">
        <v>115</v>
      </c>
    </row>
    <row r="13" spans="1:8">
      <c r="A13" s="1" t="s">
        <v>22</v>
      </c>
      <c r="B13" s="1" t="s">
        <v>10</v>
      </c>
      <c r="C13" s="1" t="s">
        <v>2</v>
      </c>
      <c r="D13" s="1" t="s">
        <v>7</v>
      </c>
      <c r="E13" s="2">
        <v>53000.5</v>
      </c>
      <c r="F13" s="2">
        <v>34000</v>
      </c>
      <c r="G13" s="1">
        <v>40</v>
      </c>
      <c r="H13" s="1">
        <v>42</v>
      </c>
    </row>
    <row r="14" spans="1:8">
      <c r="A14" s="1" t="s">
        <v>23</v>
      </c>
      <c r="B14" s="1" t="s">
        <v>1</v>
      </c>
      <c r="C14" s="1"/>
      <c r="D14" s="1" t="s">
        <v>24</v>
      </c>
      <c r="E14" s="2">
        <v>12000</v>
      </c>
      <c r="F14" s="1"/>
      <c r="G14" s="1">
        <v>10</v>
      </c>
      <c r="H14" s="1">
        <v>0</v>
      </c>
    </row>
    <row r="15" spans="1:8">
      <c r="A15" s="1" t="s">
        <v>25</v>
      </c>
      <c r="B15" s="1" t="s">
        <v>5</v>
      </c>
      <c r="C15" s="1" t="s">
        <v>2</v>
      </c>
      <c r="D15" s="1" t="s">
        <v>3</v>
      </c>
      <c r="E15" s="2">
        <v>29500</v>
      </c>
      <c r="F15" s="2">
        <v>28100.799999999999</v>
      </c>
      <c r="G15" s="1">
        <v>25</v>
      </c>
      <c r="H15" s="1">
        <v>24</v>
      </c>
    </row>
    <row r="16" spans="1:8">
      <c r="A16" s="1" t="s">
        <v>26</v>
      </c>
      <c r="B16" s="1" t="s">
        <v>13</v>
      </c>
      <c r="C16" s="1" t="s">
        <v>11</v>
      </c>
      <c r="D16" s="1" t="s">
        <v>7</v>
      </c>
      <c r="E16" s="2">
        <v>175000</v>
      </c>
      <c r="F16" s="2">
        <v>98000</v>
      </c>
      <c r="G16" s="1">
        <v>100</v>
      </c>
      <c r="H16" s="1">
        <v>85</v>
      </c>
    </row>
    <row r="17" spans="1:8">
      <c r="A17" s="1" t="s">
        <v>27</v>
      </c>
      <c r="B17" s="1" t="s">
        <v>10</v>
      </c>
      <c r="C17" s="1" t="s">
        <v>6</v>
      </c>
      <c r="D17" s="1" t="s">
        <v>14</v>
      </c>
      <c r="E17" s="2">
        <v>64000</v>
      </c>
      <c r="F17" s="2">
        <v>68200</v>
      </c>
      <c r="G17" s="1">
        <v>50</v>
      </c>
      <c r="H17" s="1">
        <v>62</v>
      </c>
    </row>
    <row r="18" spans="1:8">
      <c r="A18" s="1" t="s">
        <v>28</v>
      </c>
      <c r="B18" s="1" t="s">
        <v>1</v>
      </c>
      <c r="C18" s="1" t="s">
        <v>2</v>
      </c>
      <c r="D18" s="1" t="s">
        <v>3</v>
      </c>
      <c r="E18" s="2">
        <v>38500.25</v>
      </c>
      <c r="F18" s="2">
        <v>37100</v>
      </c>
      <c r="G18" s="1">
        <v>30</v>
      </c>
      <c r="H18" s="1">
        <v>29</v>
      </c>
    </row>
    <row r="19" spans="1:8">
      <c r="A19" s="1" t="s">
        <v>29</v>
      </c>
      <c r="B19" s="1" t="s">
        <v>5</v>
      </c>
      <c r="C19" s="1" t="s">
        <v>11</v>
      </c>
      <c r="D19" s="1" t="s">
        <v>7</v>
      </c>
      <c r="E19" s="2">
        <v>14200</v>
      </c>
      <c r="F19" s="2">
        <v>9100</v>
      </c>
      <c r="G19" s="1">
        <v>12</v>
      </c>
      <c r="H19" s="1">
        <v>14</v>
      </c>
    </row>
    <row r="20" spans="1:8">
      <c r="A20" s="1" t="s">
        <v>30</v>
      </c>
      <c r="B20" s="1" t="s">
        <v>13</v>
      </c>
      <c r="C20" s="1" t="s">
        <v>2</v>
      </c>
      <c r="D20" s="1" t="s">
        <v>3</v>
      </c>
      <c r="E20" s="2">
        <v>115000</v>
      </c>
      <c r="F20" s="2">
        <v>110500</v>
      </c>
      <c r="G20" s="1">
        <v>80</v>
      </c>
      <c r="H20" s="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1932-DAF5-4FED-9129-E0F528A5E1D7}">
  <dimension ref="A1:S21"/>
  <sheetViews>
    <sheetView tabSelected="1" workbookViewId="0">
      <selection activeCell="K8" sqref="K8"/>
    </sheetView>
  </sheetViews>
  <sheetFormatPr defaultRowHeight="15"/>
  <cols>
    <col min="1" max="1" width="12.28515625" style="1" customWidth="1"/>
    <col min="2" max="2" width="13.85546875" style="1" customWidth="1"/>
    <col min="3" max="3" width="14.28515625" style="1" customWidth="1"/>
    <col min="4" max="4" width="9.140625" style="1"/>
    <col min="5" max="5" width="14.140625" style="1" customWidth="1"/>
    <col min="6" max="6" width="20" style="1" customWidth="1"/>
    <col min="7" max="8" width="13.85546875" style="1" customWidth="1"/>
    <col min="9" max="10" width="9.140625" style="1"/>
    <col min="11" max="11" width="11.7109375" style="1" bestFit="1" customWidth="1"/>
    <col min="12" max="16384" width="9.140625" style="1"/>
  </cols>
  <sheetData>
    <row r="1" spans="1:19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K1" s="3" t="s">
        <v>39</v>
      </c>
      <c r="M1" s="3" t="s">
        <v>40</v>
      </c>
      <c r="O1" s="3" t="s">
        <v>41</v>
      </c>
      <c r="Q1" s="3" t="s">
        <v>42</v>
      </c>
      <c r="S1" s="3" t="s">
        <v>43</v>
      </c>
    </row>
    <row r="2" spans="1:19">
      <c r="A2" s="1" t="s">
        <v>0</v>
      </c>
      <c r="B2" s="1" t="s">
        <v>1</v>
      </c>
      <c r="C2" s="1" t="s">
        <v>2</v>
      </c>
      <c r="D2" s="1" t="s">
        <v>3</v>
      </c>
      <c r="E2" s="2">
        <v>45000.5</v>
      </c>
      <c r="F2" s="2">
        <v>42300</v>
      </c>
      <c r="G2" s="1">
        <v>30</v>
      </c>
      <c r="H2" s="1">
        <v>28</v>
      </c>
      <c r="K2" s="2">
        <f>SUM(Project_Tracker[Actual_Spend_USD])</f>
        <v>1043853.05</v>
      </c>
      <c r="M2" s="1">
        <f>AVERAGE(Project_Tracker[Actual_Spend_USD])</f>
        <v>57991.836111111115</v>
      </c>
      <c r="O2" s="1">
        <f>COUNT(Project_Tracker[Actual_Spend_USD])</f>
        <v>18</v>
      </c>
      <c r="Q2" s="1">
        <f>MIN(Project_Tracker[Actual_Spend_USD])</f>
        <v>7900.25</v>
      </c>
      <c r="S2" s="1">
        <f>MAX(Project_Tracker[Actual_Spend_USD])</f>
        <v>205000</v>
      </c>
    </row>
    <row r="3" spans="1:19">
      <c r="A3" s="1" t="s">
        <v>4</v>
      </c>
      <c r="B3" s="1" t="s">
        <v>5</v>
      </c>
      <c r="C3" s="1" t="s">
        <v>6</v>
      </c>
      <c r="D3" s="1" t="s">
        <v>7</v>
      </c>
      <c r="E3" s="2">
        <v>12500</v>
      </c>
      <c r="F3" s="2">
        <v>8400.75</v>
      </c>
      <c r="G3" s="1">
        <v>15</v>
      </c>
      <c r="H3" s="1">
        <v>18</v>
      </c>
      <c r="Q3" s="1">
        <f>SMALL(F2:F21,2)</f>
        <v>8400.75</v>
      </c>
      <c r="S3" s="1">
        <f>LARGE(Project_Tracker[Actual_Spend_USD],2)</f>
        <v>112000</v>
      </c>
    </row>
    <row r="4" spans="1:19">
      <c r="A4" s="1" t="s">
        <v>8</v>
      </c>
      <c r="B4" s="1" t="s">
        <v>1</v>
      </c>
      <c r="C4" s="1" t="s">
        <v>2</v>
      </c>
      <c r="D4" s="1" t="s">
        <v>7</v>
      </c>
      <c r="E4" s="2">
        <v>88000</v>
      </c>
      <c r="F4" s="2">
        <v>61200</v>
      </c>
      <c r="G4" s="1">
        <v>60</v>
      </c>
      <c r="H4" s="1">
        <v>65</v>
      </c>
      <c r="K4" s="3" t="s">
        <v>44</v>
      </c>
      <c r="M4" s="3" t="s">
        <v>45</v>
      </c>
      <c r="O4" s="3" t="s">
        <v>46</v>
      </c>
      <c r="Q4" s="3" t="s">
        <v>47</v>
      </c>
      <c r="S4" s="3" t="s">
        <v>48</v>
      </c>
    </row>
    <row r="5" spans="1:19">
      <c r="A5" s="1" t="s">
        <v>9</v>
      </c>
      <c r="B5" s="1" t="s">
        <v>10</v>
      </c>
      <c r="C5" s="1" t="s">
        <v>11</v>
      </c>
      <c r="D5" s="1" t="s">
        <v>3</v>
      </c>
      <c r="E5" s="2">
        <v>23400.75</v>
      </c>
      <c r="F5" s="2">
        <v>23400.75</v>
      </c>
      <c r="G5" s="1">
        <v>20</v>
      </c>
      <c r="H5" s="1">
        <v>19</v>
      </c>
      <c r="K5" s="1">
        <f>SUMIF(Project_Tracker[Actual_Spend_USD],"&gt;20000")</f>
        <v>998952.05</v>
      </c>
      <c r="M5" s="1" t="e">
        <f>AVERAGEIF(#REF!,"IT",#REF!)</f>
        <v>#REF!</v>
      </c>
      <c r="O5" s="1">
        <f>COUNTA(#REF!)</f>
        <v>1</v>
      </c>
      <c r="Q5" s="1" t="e">
        <f>_xlfn.MINIFS(#REF!,#REF!,"=IT",#REF!,"Completed")</f>
        <v>#REF!</v>
      </c>
      <c r="S5" s="1" t="e">
        <f>_xlfn.MAXIFS(#REF!,#REF!,"=IT",#REF!,"Completed")</f>
        <v>#REF!</v>
      </c>
    </row>
    <row r="6" spans="1:19">
      <c r="A6" s="1" t="s">
        <v>12</v>
      </c>
      <c r="B6" s="1" t="s">
        <v>13</v>
      </c>
      <c r="C6" s="1" t="s">
        <v>2</v>
      </c>
      <c r="D6" s="1" t="s">
        <v>14</v>
      </c>
      <c r="E6" s="2">
        <v>150000</v>
      </c>
      <c r="F6" s="2">
        <v>112000</v>
      </c>
      <c r="G6" s="1">
        <v>90</v>
      </c>
      <c r="H6" s="1">
        <v>105</v>
      </c>
      <c r="K6" s="1">
        <f>SUMIF(Project_Tracker[Department],"IT",Project_Tracker[Budget_USD])</f>
        <v>312500.75</v>
      </c>
      <c r="O6" s="1">
        <f>COUNTA(#REF!)</f>
        <v>1</v>
      </c>
    </row>
    <row r="7" spans="1:19">
      <c r="A7" s="1" t="s">
        <v>15</v>
      </c>
      <c r="B7" s="1" t="s">
        <v>5</v>
      </c>
      <c r="C7" s="1" t="s">
        <v>6</v>
      </c>
      <c r="D7" s="1" t="s">
        <v>3</v>
      </c>
      <c r="E7" s="2">
        <v>8500</v>
      </c>
      <c r="F7" s="2">
        <v>7900.25</v>
      </c>
      <c r="G7" s="1">
        <v>10</v>
      </c>
      <c r="H7" s="1">
        <v>10</v>
      </c>
      <c r="K7" s="1">
        <f>SUMIF(Project_Tracker[Department],"="&amp;B2,Project_Tracker[Budget_USD])</f>
        <v>312500.75</v>
      </c>
    </row>
    <row r="8" spans="1:19">
      <c r="A8" s="1" t="s">
        <v>16</v>
      </c>
      <c r="B8" s="1" t="s">
        <v>1</v>
      </c>
      <c r="C8" s="1" t="s">
        <v>11</v>
      </c>
      <c r="E8" s="2">
        <v>34000</v>
      </c>
      <c r="G8" s="1">
        <v>25</v>
      </c>
      <c r="H8" s="1">
        <v>0</v>
      </c>
      <c r="J8" s="4" t="s">
        <v>49</v>
      </c>
      <c r="K8" s="1" t="e">
        <f>SUMIF(#REF!,"IT",#REF!)+SUMIF(#REF!,"HR",#REF!)</f>
        <v>#REF!</v>
      </c>
      <c r="O8" s="3" t="s">
        <v>50</v>
      </c>
    </row>
    <row r="9" spans="1:19">
      <c r="A9" s="1" t="s">
        <v>17</v>
      </c>
      <c r="B9" s="1" t="s">
        <v>13</v>
      </c>
      <c r="C9" s="1" t="s">
        <v>2</v>
      </c>
      <c r="D9" s="1" t="s">
        <v>3</v>
      </c>
      <c r="E9" s="2">
        <v>62000.25</v>
      </c>
      <c r="F9" s="2">
        <v>65800.5</v>
      </c>
      <c r="G9" s="1">
        <v>45</v>
      </c>
      <c r="H9" s="1">
        <v>48</v>
      </c>
      <c r="J9" s="4"/>
      <c r="K9" s="1" t="e">
        <f t="array" ref="K9">SUM(SUMIF(#REF!,{"IT","HR"},#REF!))</f>
        <v>#REF!</v>
      </c>
      <c r="O9" s="1" t="e">
        <f>COUNTBLANK(#REF!)</f>
        <v>#REF!</v>
      </c>
    </row>
    <row r="10" spans="1:19">
      <c r="A10" s="1" t="s">
        <v>18</v>
      </c>
      <c r="B10" s="1" t="s">
        <v>10</v>
      </c>
      <c r="C10" s="1" t="s">
        <v>6</v>
      </c>
      <c r="D10" s="1" t="s">
        <v>7</v>
      </c>
      <c r="E10" s="2">
        <v>41500</v>
      </c>
      <c r="F10" s="2">
        <v>22100</v>
      </c>
      <c r="G10" s="1">
        <v>30</v>
      </c>
      <c r="H10" s="1">
        <v>32</v>
      </c>
      <c r="J10" s="3" t="s">
        <v>51</v>
      </c>
      <c r="K10" s="1" t="e">
        <f>SUMIF(#REF!,"op*",#REF!)</f>
        <v>#REF!</v>
      </c>
      <c r="M10" s="1" t="e">
        <f>AVERAGEIF(#REF!,"Op*",#REF!)</f>
        <v>#REF!</v>
      </c>
    </row>
    <row r="11" spans="1:19">
      <c r="A11" s="1" t="s">
        <v>19</v>
      </c>
      <c r="B11" s="1" t="s">
        <v>1</v>
      </c>
      <c r="C11" s="1" t="s">
        <v>2</v>
      </c>
      <c r="D11" s="1" t="s">
        <v>3</v>
      </c>
      <c r="E11" s="2">
        <v>95000</v>
      </c>
      <c r="F11" s="2">
        <v>91250</v>
      </c>
      <c r="G11" s="1">
        <v>75</v>
      </c>
      <c r="H11" s="1">
        <v>70</v>
      </c>
      <c r="O11" s="3" t="s">
        <v>52</v>
      </c>
    </row>
    <row r="12" spans="1:19">
      <c r="A12" s="1" t="s">
        <v>20</v>
      </c>
      <c r="B12" s="1" t="s">
        <v>5</v>
      </c>
      <c r="C12" s="1" t="s">
        <v>11</v>
      </c>
      <c r="D12" s="1" t="s">
        <v>14</v>
      </c>
      <c r="E12" s="2">
        <v>18000</v>
      </c>
      <c r="F12" s="2">
        <v>19500</v>
      </c>
      <c r="G12" s="1">
        <v>15</v>
      </c>
      <c r="H12" s="1">
        <v>22</v>
      </c>
      <c r="O12" s="1" t="e">
        <f>COUNTIF(#REF!,"IT")</f>
        <v>#REF!</v>
      </c>
    </row>
    <row r="13" spans="1:19">
      <c r="A13" s="1" t="s">
        <v>21</v>
      </c>
      <c r="B13" s="1" t="s">
        <v>13</v>
      </c>
      <c r="C13" s="1" t="s">
        <v>6</v>
      </c>
      <c r="D13" s="1" t="s">
        <v>3</v>
      </c>
      <c r="E13" s="2">
        <v>210000</v>
      </c>
      <c r="F13" s="2">
        <v>205000</v>
      </c>
      <c r="G13" s="1">
        <v>120</v>
      </c>
      <c r="H13" s="1">
        <v>115</v>
      </c>
      <c r="K13" s="3" t="s">
        <v>53</v>
      </c>
      <c r="M13" s="3" t="s">
        <v>54</v>
      </c>
      <c r="O13" s="1" t="e">
        <f>COUNTIF(#REF!,"&gt;20000")</f>
        <v>#REF!</v>
      </c>
    </row>
    <row r="14" spans="1:19">
      <c r="A14" s="1" t="s">
        <v>22</v>
      </c>
      <c r="B14" s="1" t="s">
        <v>10</v>
      </c>
      <c r="C14" s="1" t="s">
        <v>2</v>
      </c>
      <c r="D14" s="1" t="s">
        <v>7</v>
      </c>
      <c r="E14" s="2">
        <v>53000.5</v>
      </c>
      <c r="F14" s="2">
        <v>34000</v>
      </c>
      <c r="G14" s="1">
        <v>40</v>
      </c>
      <c r="H14" s="1">
        <v>42</v>
      </c>
      <c r="J14" s="3" t="s">
        <v>55</v>
      </c>
      <c r="K14" s="1" t="e">
        <f>SUMIFS(#REF!,#REF!,"=IT",#REF!,"c?m*")</f>
        <v>#REF!</v>
      </c>
      <c r="M14" s="1" t="e">
        <f>AVERAGEIFS(#REF!,#REF!,"=it",#REF!,"=Completed")</f>
        <v>#REF!</v>
      </c>
      <c r="O14" s="1" t="e">
        <f>COUNTIF(#REF!,"&gt;30")</f>
        <v>#REF!</v>
      </c>
    </row>
    <row r="15" spans="1:19">
      <c r="A15" s="1" t="s">
        <v>23</v>
      </c>
      <c r="B15" s="1" t="s">
        <v>1</v>
      </c>
      <c r="D15" s="1" t="s">
        <v>24</v>
      </c>
      <c r="E15" s="2">
        <v>12000</v>
      </c>
      <c r="G15" s="1">
        <v>10</v>
      </c>
      <c r="H15" s="1">
        <v>0</v>
      </c>
      <c r="O15" s="1" t="e">
        <f>COUNTIF(#REF!,"&gt;"&amp;30)</f>
        <v>#REF!</v>
      </c>
    </row>
    <row r="16" spans="1:19">
      <c r="A16" s="1" t="s">
        <v>25</v>
      </c>
      <c r="B16" s="1" t="s">
        <v>5</v>
      </c>
      <c r="C16" s="1" t="s">
        <v>2</v>
      </c>
      <c r="D16" s="1" t="s">
        <v>3</v>
      </c>
      <c r="E16" s="2">
        <v>29500</v>
      </c>
      <c r="F16" s="2">
        <v>28100.799999999999</v>
      </c>
      <c r="G16" s="1">
        <v>25</v>
      </c>
      <c r="H16" s="1">
        <v>24</v>
      </c>
    </row>
    <row r="17" spans="1:15">
      <c r="A17" s="1" t="s">
        <v>26</v>
      </c>
      <c r="B17" s="1" t="s">
        <v>13</v>
      </c>
      <c r="C17" s="1" t="s">
        <v>11</v>
      </c>
      <c r="D17" s="1" t="s">
        <v>7</v>
      </c>
      <c r="E17" s="2">
        <v>175000</v>
      </c>
      <c r="F17" s="2">
        <v>98000</v>
      </c>
      <c r="G17" s="1">
        <v>100</v>
      </c>
      <c r="H17" s="1">
        <v>85</v>
      </c>
      <c r="O17" s="3" t="s">
        <v>56</v>
      </c>
    </row>
    <row r="18" spans="1:15">
      <c r="A18" s="1" t="s">
        <v>27</v>
      </c>
      <c r="B18" s="1" t="s">
        <v>10</v>
      </c>
      <c r="C18" s="1" t="s">
        <v>6</v>
      </c>
      <c r="D18" s="1" t="s">
        <v>14</v>
      </c>
      <c r="E18" s="2">
        <v>64000</v>
      </c>
      <c r="F18" s="2">
        <v>68200</v>
      </c>
      <c r="G18" s="1">
        <v>50</v>
      </c>
      <c r="H18" s="1">
        <v>62</v>
      </c>
      <c r="O18" s="1" t="e">
        <f>COUNTIFS(#REF!,"it",#REF!,"completed")</f>
        <v>#REF!</v>
      </c>
    </row>
    <row r="19" spans="1:15">
      <c r="A19" s="1" t="s">
        <v>28</v>
      </c>
      <c r="B19" s="1" t="s">
        <v>1</v>
      </c>
      <c r="C19" s="1" t="s">
        <v>2</v>
      </c>
      <c r="D19" s="1" t="s">
        <v>3</v>
      </c>
      <c r="E19" s="2">
        <v>38500.25</v>
      </c>
      <c r="F19" s="2">
        <v>37100</v>
      </c>
      <c r="G19" s="1">
        <v>30</v>
      </c>
      <c r="H19" s="1">
        <v>29</v>
      </c>
    </row>
    <row r="20" spans="1:15">
      <c r="A20" s="1" t="s">
        <v>29</v>
      </c>
      <c r="B20" s="1" t="s">
        <v>5</v>
      </c>
      <c r="C20" s="1" t="s">
        <v>11</v>
      </c>
      <c r="D20" s="1" t="s">
        <v>7</v>
      </c>
      <c r="E20" s="2">
        <v>14200</v>
      </c>
      <c r="F20" s="2">
        <v>9100</v>
      </c>
      <c r="G20" s="1">
        <v>12</v>
      </c>
      <c r="H20" s="1">
        <v>14</v>
      </c>
    </row>
    <row r="21" spans="1:15">
      <c r="A21" s="1" t="s">
        <v>30</v>
      </c>
      <c r="B21" s="1" t="s">
        <v>13</v>
      </c>
      <c r="C21" s="1" t="s">
        <v>2</v>
      </c>
      <c r="D21" s="1" t="s">
        <v>3</v>
      </c>
      <c r="E21" s="2">
        <v>115000</v>
      </c>
      <c r="F21" s="2">
        <v>110500</v>
      </c>
      <c r="G21" s="1">
        <v>80</v>
      </c>
      <c r="H21" s="1">
        <v>78</v>
      </c>
    </row>
  </sheetData>
  <mergeCells count="1">
    <mergeCell ref="J8:J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ASDC35</dc:creator>
  <cp:lastModifiedBy>ASDC35</cp:lastModifiedBy>
  <dcterms:created xsi:type="dcterms:W3CDTF">2026-10-24T10:44:45Z</dcterms:created>
  <dcterms:modified xsi:type="dcterms:W3CDTF">2026-10-24T11:42:01Z</dcterms:modified>
</cp:coreProperties>
</file>