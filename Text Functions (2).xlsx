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HIMANSHU ARYA DA24\"/>
    </mc:Choice>
  </mc:AlternateContent>
  <xr:revisionPtr revIDLastSave="0" documentId="13_ncr:1_{C0434FD7-CD48-44A4-AB1D-54BEAFE9AC49}" xr6:coauthVersionLast="47" xr6:coauthVersionMax="47" xr10:uidLastSave="{00000000-0000-0000-0000-000000000000}"/>
  <bookViews>
    <workbookView xWindow="-120" yWindow="-120" windowWidth="29040" windowHeight="15720" activeTab="1" xr2:uid="{A360932E-86AD-4759-B6D4-A9B6828669BB}"/>
  </bookViews>
  <sheets>
    <sheet name="Part1" sheetId="1" r:id="rId1"/>
    <sheet name="Part2" sheetId="2" r:id="rId2"/>
    <sheet name="Par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3" i="2" l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" i="2"/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" i="2"/>
  <c r="R2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" i="2"/>
  <c r="N25" i="2"/>
  <c r="N26" i="2"/>
  <c r="N27" i="2"/>
  <c r="N28" i="2"/>
  <c r="N24" i="2"/>
  <c r="M25" i="2"/>
  <c r="M26" i="2"/>
  <c r="M27" i="2"/>
  <c r="M28" i="2"/>
  <c r="M24" i="2"/>
  <c r="L25" i="2"/>
  <c r="L26" i="2"/>
  <c r="L27" i="2"/>
  <c r="L28" i="2"/>
  <c r="L24" i="2"/>
  <c r="K25" i="2"/>
  <c r="K26" i="2"/>
  <c r="K27" i="2"/>
  <c r="K28" i="2"/>
  <c r="K24" i="2"/>
  <c r="J25" i="2"/>
  <c r="J26" i="2"/>
  <c r="J27" i="2"/>
  <c r="J28" i="2"/>
  <c r="J24" i="2"/>
  <c r="I25" i="2"/>
  <c r="I26" i="2"/>
  <c r="I27" i="2"/>
  <c r="I28" i="2"/>
  <c r="I24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" i="2"/>
  <c r="K2" i="2" s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" i="2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A2" i="1"/>
  <c r="B2" i="1"/>
  <c r="A3" i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K15" i="2" l="1"/>
  <c r="K7" i="2"/>
  <c r="K9" i="2"/>
  <c r="K8" i="2"/>
  <c r="K6" i="2"/>
  <c r="K21" i="2"/>
  <c r="K13" i="2"/>
  <c r="K5" i="2"/>
  <c r="K20" i="2"/>
  <c r="K12" i="2"/>
  <c r="K4" i="2"/>
  <c r="K18" i="2"/>
  <c r="K10" i="2"/>
  <c r="K17" i="2"/>
  <c r="K16" i="2"/>
  <c r="K14" i="2"/>
  <c r="K19" i="2"/>
  <c r="K11" i="2"/>
  <c r="K3" i="2"/>
</calcChain>
</file>

<file path=xl/sharedStrings.xml><?xml version="1.0" encoding="utf-8"?>
<sst xmlns="http://schemas.openxmlformats.org/spreadsheetml/2006/main" count="351" uniqueCount="125">
  <si>
    <t>Product Code</t>
  </si>
  <si>
    <t>Product Name</t>
  </si>
  <si>
    <t>Category</t>
  </si>
  <si>
    <t>Subcategory</t>
  </si>
  <si>
    <t>Brand</t>
  </si>
  <si>
    <t>Model Number</t>
  </si>
  <si>
    <t>Electronics</t>
  </si>
  <si>
    <t>Accessories</t>
  </si>
  <si>
    <t>Logitech</t>
  </si>
  <si>
    <t>M330</t>
  </si>
  <si>
    <t>Peripherals</t>
  </si>
  <si>
    <t>Keychron</t>
  </si>
  <si>
    <t>K2-V2</t>
  </si>
  <si>
    <t>Audio</t>
  </si>
  <si>
    <t>Razer</t>
  </si>
  <si>
    <t>RZ04</t>
  </si>
  <si>
    <t>Cables</t>
  </si>
  <si>
    <t>Anker</t>
  </si>
  <si>
    <t>A8823</t>
  </si>
  <si>
    <t>Wearables</t>
  </si>
  <si>
    <t>Garmin</t>
  </si>
  <si>
    <t>Venu-2</t>
  </si>
  <si>
    <t>JBL</t>
  </si>
  <si>
    <t>Flip-6</t>
  </si>
  <si>
    <t>Nulaxy</t>
  </si>
  <si>
    <t>C3-Stand</t>
  </si>
  <si>
    <t>Video</t>
  </si>
  <si>
    <t>C920</t>
  </si>
  <si>
    <t>Storage</t>
  </si>
  <si>
    <t>SanDisk</t>
  </si>
  <si>
    <t>Extreme-64</t>
  </si>
  <si>
    <t>Power</t>
  </si>
  <si>
    <t>Core-10k</t>
  </si>
  <si>
    <t>Spigen</t>
  </si>
  <si>
    <t>Tough-Armor</t>
  </si>
  <si>
    <t>Office</t>
  </si>
  <si>
    <t>Furniture</t>
  </si>
  <si>
    <t>Orbitkey</t>
  </si>
  <si>
    <t>Mat-Large</t>
  </si>
  <si>
    <t>Lighting</t>
  </si>
  <si>
    <t>Neewer</t>
  </si>
  <si>
    <t>RL-10</t>
  </si>
  <si>
    <t>Belkin</t>
  </si>
  <si>
    <t>AVC002</t>
  </si>
  <si>
    <t>GoalZero</t>
  </si>
  <si>
    <t>Nomad-10</t>
  </si>
  <si>
    <t>Fitbit</t>
  </si>
  <si>
    <t>Inspire-3</t>
  </si>
  <si>
    <t>Loop</t>
  </si>
  <si>
    <t>Quiet-2</t>
  </si>
  <si>
    <t>Network</t>
  </si>
  <si>
    <t>TP-Link</t>
  </si>
  <si>
    <t>AX3000</t>
  </si>
  <si>
    <t>Equipment</t>
  </si>
  <si>
    <t>Epson</t>
  </si>
  <si>
    <t>TM-T20</t>
  </si>
  <si>
    <t>GoPro</t>
  </si>
  <si>
    <t>Hero-12</t>
  </si>
  <si>
    <t>LEN()</t>
  </si>
  <si>
    <t>LEN(CLEAN())</t>
  </si>
  <si>
    <t>LEN(TRIM())</t>
  </si>
  <si>
    <t>Removes non-printable ASCII control characters (such as line breaks) from text strings.</t>
  </si>
  <si>
    <t>Removes all extra spaces from a text string, leaving only single spaces between words and eliminating all leading and trailing spaces.</t>
  </si>
  <si>
    <t>CLEAN()</t>
  </si>
  <si>
    <t>TRIM()</t>
  </si>
  <si>
    <t>UPPER()</t>
  </si>
  <si>
    <t>LOWER()</t>
  </si>
  <si>
    <t>PROPER()</t>
  </si>
  <si>
    <t>ITEM-101</t>
  </si>
  <si>
    <t>ITEM-102</t>
  </si>
  <si>
    <t>ITEM-103</t>
  </si>
  <si>
    <t>ITEM-104</t>
  </si>
  <si>
    <t>ITEM-105</t>
  </si>
  <si>
    <t>ITEM-106</t>
  </si>
  <si>
    <t>ITEM-107</t>
  </si>
  <si>
    <t>ITEM-108</t>
  </si>
  <si>
    <t>ITEM-109</t>
  </si>
  <si>
    <t>ITEM-110</t>
  </si>
  <si>
    <t>ITEM-111</t>
  </si>
  <si>
    <t>ITEM-112</t>
  </si>
  <si>
    <t>ITEM-113</t>
  </si>
  <si>
    <t>ITEM-114</t>
  </si>
  <si>
    <t>ITEM-115</t>
  </si>
  <si>
    <t>ITEM-116</t>
  </si>
  <si>
    <t>ITEM-117</t>
  </si>
  <si>
    <t>ITEM-118</t>
  </si>
  <si>
    <t>ITEM-119</t>
  </si>
  <si>
    <t>ITEM-120</t>
  </si>
  <si>
    <t>Wireless Mouse</t>
  </si>
  <si>
    <t>Mechanical Keyboard</t>
  </si>
  <si>
    <t>Gaming Headset</t>
  </si>
  <si>
    <t>Usb Cable</t>
  </si>
  <si>
    <t>Smart Watch</t>
  </si>
  <si>
    <t>Bluetooth Speaker</t>
  </si>
  <si>
    <t>Laptop Stand</t>
  </si>
  <si>
    <t>Web Camera</t>
  </si>
  <si>
    <t>Memory Card</t>
  </si>
  <si>
    <t>Power Bank</t>
  </si>
  <si>
    <t>Phone Case</t>
  </si>
  <si>
    <t>Desk Mat</t>
  </si>
  <si>
    <t>Ring Light</t>
  </si>
  <si>
    <t>Hdmi Adapter</t>
  </si>
  <si>
    <t>Solar Charger</t>
  </si>
  <si>
    <t>Fitness Band</t>
  </si>
  <si>
    <t>Noise Earplugs</t>
  </si>
  <si>
    <t>Wifi Router</t>
  </si>
  <si>
    <t>Thermal Printer</t>
  </si>
  <si>
    <t>Action Camera</t>
  </si>
  <si>
    <t>K2-V2-3</t>
  </si>
  <si>
    <t>Inspire-3-1</t>
  </si>
  <si>
    <t>Nomad-10-2</t>
  </si>
  <si>
    <t>LEFT()</t>
  </si>
  <si>
    <t>RIGHT()</t>
  </si>
  <si>
    <t>MID()</t>
  </si>
  <si>
    <t>CONCAT()</t>
  </si>
  <si>
    <t>FIND()</t>
  </si>
  <si>
    <t>SEARCH()</t>
  </si>
  <si>
    <t>Gaming *Headset</t>
  </si>
  <si>
    <t>Usb ?Cable</t>
  </si>
  <si>
    <t>Smart ~Watch</t>
  </si>
  <si>
    <t>Bluetooth ~~Speaker</t>
  </si>
  <si>
    <t>REPLACE()</t>
  </si>
  <si>
    <t>SUBSTITUDE()</t>
  </si>
  <si>
    <t>TEXTJOIN()</t>
  </si>
  <si>
    <t>find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</si>
</sst>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28C7B6-C772-4E35-A759-9ADF4641CAD4}" name="Product" displayName="Product" ref="A1:F21" totalsRowShown="0">
  <autoFilter ref="A1:F21" xr:uid="{2728C7B6-C772-4E35-A759-9ADF4641CAD4}"/>
  <tableColumns count="6">
    <tableColumn id="1" xr3:uid="{614AEB2D-A5C9-4538-B8C7-6EA0609CE697}" name="Product Code"/>
    <tableColumn id="2" xr3:uid="{E3437398-A934-4694-9770-0517F5A557DE}" name="Product Name"/>
    <tableColumn id="3" xr3:uid="{3F769B99-98EA-491D-BF7C-1294F71308AF}" name="Category"/>
    <tableColumn id="4" xr3:uid="{6D5D788D-D8B9-429E-9517-21A70AE62DFF}" name="Subcategory"/>
    <tableColumn id="5" xr3:uid="{ADE0D3EB-F3D6-4C61-A744-6C94A58C13AA}" name="Brand"/>
    <tableColumn id="6" xr3:uid="{BB8F89CF-123E-4B10-90DF-53F4B74F497F}" name="Model Numb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8E27B4-82DA-436B-AE19-260934A0A998}" name="Prod" displayName="Prod" ref="A1:F21" totalsRowShown="0">
  <autoFilter ref="A1:F21" xr:uid="{FA8E27B4-82DA-436B-AE19-260934A0A998}"/>
  <tableColumns count="6">
    <tableColumn id="1" xr3:uid="{13FF758D-F1C8-4426-826A-EA6631A0BFEF}" name="Product Code"/>
    <tableColumn id="2" xr3:uid="{3C49DBAD-416D-4EAF-ACC7-FF335DB8F182}" name="Product Name"/>
    <tableColumn id="3" xr3:uid="{60C641FB-CE1B-4C38-8DEA-C2A6094ADA36}" name="Category"/>
    <tableColumn id="4" xr3:uid="{D5408300-F5A6-4E44-B34F-90DD691BA204}" name="Subcategory"/>
    <tableColumn id="5" xr3:uid="{F093FBAD-DD99-4788-B645-83A386212DF5}" name="Brand"/>
    <tableColumn id="6" xr3:uid="{8C23F30B-9A9D-430B-8025-9D8D3228B499}" name="Model Numb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A46CDD-7426-47BB-BEA1-EDB31B207067}" name="Prodct" displayName="Prodct" ref="A1:F21" totalsRowShown="0">
  <autoFilter ref="A1:F21" xr:uid="{EEA46CDD-7426-47BB-BEA1-EDB31B207067}"/>
  <tableColumns count="6">
    <tableColumn id="1" xr3:uid="{93A76211-C4C7-4330-961A-98938839E8FF}" name="Product Code"/>
    <tableColumn id="2" xr3:uid="{176A5606-4A47-4BBD-9016-B1CE9645A7A0}" name="Product Name"/>
    <tableColumn id="3" xr3:uid="{7135A4DC-B9D1-4A31-B97C-2FB58FE99EC6}" name="Category"/>
    <tableColumn id="4" xr3:uid="{BC28032C-B45F-4185-AC1D-517E42F33EFD}" name="Subcategory"/>
    <tableColumn id="5" xr3:uid="{9CD5D919-28BB-42FA-9903-E06774DAB5C3}" name="Brand"/>
    <tableColumn id="6" xr3:uid="{6F401B8C-59A7-4C40-9761-8ADF00FC95A8}" name="Model 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267C8-716F-46E3-90BA-B571245AC17A}">
  <dimension ref="A1:P23"/>
  <sheetViews>
    <sheetView workbookViewId="0">
      <selection activeCell="H12" sqref="H12"/>
    </sheetView>
  </sheetViews>
  <sheetFormatPr defaultRowHeight="15" x14ac:dyDescent="0.25"/>
  <cols>
    <col min="1" max="1" width="15" customWidth="1"/>
    <col min="2" max="2" width="20" bestFit="1" customWidth="1"/>
    <col min="3" max="3" width="11" customWidth="1"/>
    <col min="4" max="4" width="14" customWidth="1"/>
    <col min="5" max="5" width="9.28515625" bestFit="1" customWidth="1"/>
    <col min="6" max="6" width="16.7109375" customWidth="1"/>
    <col min="8" max="8" width="5.7109375" bestFit="1" customWidth="1"/>
    <col min="9" max="9" width="9" bestFit="1" customWidth="1"/>
    <col min="10" max="10" width="12.85546875" bestFit="1" customWidth="1"/>
    <col min="11" max="11" width="5.7109375" bestFit="1" customWidth="1"/>
    <col min="12" max="12" width="20" bestFit="1" customWidth="1"/>
    <col min="13" max="13" width="11.5703125" bestFit="1" customWidth="1"/>
    <col min="14" max="14" width="23" bestFit="1" customWidth="1"/>
    <col min="15" max="15" width="20" bestFit="1" customWidth="1"/>
    <col min="16" max="16" width="20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2" t="s">
        <v>58</v>
      </c>
      <c r="I1" s="2" t="s">
        <v>63</v>
      </c>
      <c r="J1" s="2" t="s">
        <v>59</v>
      </c>
      <c r="K1" s="2" t="s">
        <v>58</v>
      </c>
      <c r="L1" s="2" t="s">
        <v>64</v>
      </c>
      <c r="M1" s="2" t="s">
        <v>60</v>
      </c>
      <c r="N1" s="2" t="s">
        <v>65</v>
      </c>
      <c r="O1" s="2" t="s">
        <v>66</v>
      </c>
      <c r="P1" s="2" t="s">
        <v>67</v>
      </c>
    </row>
    <row r="2" spans="1:16" x14ac:dyDescent="0.25">
      <c r="A2" t="str">
        <f>"ITEM-101" &amp; CHAR(10)</f>
        <v xml:space="preserve">ITEM-101
</v>
      </c>
      <c r="B2" t="str">
        <f>" wireless mouse "</f>
        <v xml:space="preserve"> wireless mouse </v>
      </c>
      <c r="C2" t="s">
        <v>6</v>
      </c>
      <c r="D2" t="s">
        <v>7</v>
      </c>
      <c r="E2" t="s">
        <v>8</v>
      </c>
      <c r="F2" t="s">
        <v>9</v>
      </c>
      <c r="H2">
        <f>LEN(Product[[#This Row],[Product Code]])</f>
        <v>9</v>
      </c>
      <c r="I2" t="str">
        <f>CLEAN(Product[[#This Row],[Product Code]])</f>
        <v>ITEM-101</v>
      </c>
      <c r="J2">
        <f>LEN(I2)</f>
        <v>8</v>
      </c>
      <c r="K2">
        <f>LEN(Product[[#This Row],[Product Name]])</f>
        <v>16</v>
      </c>
      <c r="L2" t="str">
        <f>TRIM(Product[[#This Row],[Product Name]])</f>
        <v>wireless mouse</v>
      </c>
      <c r="M2">
        <f>LEN(L2)</f>
        <v>14</v>
      </c>
      <c r="N2" t="str">
        <f>UPPER(L2)</f>
        <v>WIRELESS MOUSE</v>
      </c>
      <c r="O2" t="str">
        <f>LOWER(N2)</f>
        <v>wireless mouse</v>
      </c>
      <c r="P2" t="str">
        <f>PROPER(O2)</f>
        <v>Wireless Mouse</v>
      </c>
    </row>
    <row r="3" spans="1:16" x14ac:dyDescent="0.25">
      <c r="A3" t="str">
        <f>"ITEM-102" &amp; CHAR(10)</f>
        <v xml:space="preserve">ITEM-102
</v>
      </c>
      <c r="B3" t="str">
        <f>"mechanical keyboard"</f>
        <v>mechanical keyboard</v>
      </c>
      <c r="C3" t="s">
        <v>6</v>
      </c>
      <c r="D3" t="s">
        <v>10</v>
      </c>
      <c r="E3" t="s">
        <v>11</v>
      </c>
      <c r="F3" t="s">
        <v>12</v>
      </c>
      <c r="H3">
        <f>LEN(Product[[#This Row],[Product Code]])</f>
        <v>9</v>
      </c>
      <c r="I3" t="str">
        <f>CLEAN(Product[[#This Row],[Product Code]])</f>
        <v>ITEM-102</v>
      </c>
      <c r="J3">
        <f t="shared" ref="J3:J21" si="0">LEN(I3)</f>
        <v>8</v>
      </c>
      <c r="K3">
        <f>LEN(Product[[#This Row],[Product Name]])</f>
        <v>19</v>
      </c>
      <c r="L3" t="str">
        <f>TRIM(Product[[#This Row],[Product Name]])</f>
        <v>mechanical keyboard</v>
      </c>
      <c r="M3">
        <f t="shared" ref="M3:M21" si="1">LEN(L3)</f>
        <v>19</v>
      </c>
      <c r="N3" t="str">
        <f t="shared" ref="N3:N21" si="2">UPPER(L3)</f>
        <v>MECHANICAL KEYBOARD</v>
      </c>
      <c r="O3" t="str">
        <f t="shared" ref="O3:O21" si="3">LOWER(N3)</f>
        <v>mechanical keyboard</v>
      </c>
      <c r="P3" t="str">
        <f t="shared" ref="P3:P21" si="4">PROPER(O3)</f>
        <v>Mechanical Keyboard</v>
      </c>
    </row>
    <row r="4" spans="1:16" x14ac:dyDescent="0.25">
      <c r="A4" t="str">
        <f>"ITEM-103" &amp; CHAR(10)</f>
        <v xml:space="preserve">ITEM-103
</v>
      </c>
      <c r="B4" t="str">
        <f>" gaming headset"</f>
        <v xml:space="preserve"> gaming headset</v>
      </c>
      <c r="C4" t="s">
        <v>6</v>
      </c>
      <c r="D4" t="s">
        <v>13</v>
      </c>
      <c r="E4" t="s">
        <v>14</v>
      </c>
      <c r="F4" t="s">
        <v>15</v>
      </c>
      <c r="H4">
        <f>LEN(Product[[#This Row],[Product Code]])</f>
        <v>9</v>
      </c>
      <c r="I4" t="str">
        <f>CLEAN(Product[[#This Row],[Product Code]])</f>
        <v>ITEM-103</v>
      </c>
      <c r="J4">
        <f t="shared" si="0"/>
        <v>8</v>
      </c>
      <c r="K4">
        <f>LEN(Product[[#This Row],[Product Name]])</f>
        <v>15</v>
      </c>
      <c r="L4" t="str">
        <f>TRIM(Product[[#This Row],[Product Name]])</f>
        <v>gaming headset</v>
      </c>
      <c r="M4">
        <f t="shared" si="1"/>
        <v>14</v>
      </c>
      <c r="N4" t="str">
        <f t="shared" si="2"/>
        <v>GAMING HEADSET</v>
      </c>
      <c r="O4" t="str">
        <f t="shared" si="3"/>
        <v>gaming headset</v>
      </c>
      <c r="P4" t="str">
        <f t="shared" si="4"/>
        <v>Gaming Headset</v>
      </c>
    </row>
    <row r="5" spans="1:16" x14ac:dyDescent="0.25">
      <c r="A5" t="str">
        <f>"ITEM-104" &amp; CHAR(10)</f>
        <v xml:space="preserve">ITEM-104
</v>
      </c>
      <c r="B5" t="str">
        <f>"usb cable "</f>
        <v xml:space="preserve">usb cable </v>
      </c>
      <c r="C5" t="s">
        <v>6</v>
      </c>
      <c r="D5" t="s">
        <v>16</v>
      </c>
      <c r="E5" t="s">
        <v>17</v>
      </c>
      <c r="F5" t="s">
        <v>18</v>
      </c>
      <c r="H5">
        <f>LEN(Product[[#This Row],[Product Code]])</f>
        <v>9</v>
      </c>
      <c r="I5" t="str">
        <f>CLEAN(Product[[#This Row],[Product Code]])</f>
        <v>ITEM-104</v>
      </c>
      <c r="J5">
        <f t="shared" si="0"/>
        <v>8</v>
      </c>
      <c r="K5">
        <f>LEN(Product[[#This Row],[Product Name]])</f>
        <v>10</v>
      </c>
      <c r="L5" t="str">
        <f>TRIM(Product[[#This Row],[Product Name]])</f>
        <v>usb cable</v>
      </c>
      <c r="M5">
        <f t="shared" si="1"/>
        <v>9</v>
      </c>
      <c r="N5" t="str">
        <f t="shared" si="2"/>
        <v>USB CABLE</v>
      </c>
      <c r="O5" t="str">
        <f t="shared" si="3"/>
        <v>usb cable</v>
      </c>
      <c r="P5" t="str">
        <f t="shared" si="4"/>
        <v>Usb Cable</v>
      </c>
    </row>
    <row r="6" spans="1:16" x14ac:dyDescent="0.25">
      <c r="A6" t="str">
        <f>"ITEM-105" &amp; CHAR(10)</f>
        <v xml:space="preserve">ITEM-105
</v>
      </c>
      <c r="B6" t="str">
        <f>" smart watch"</f>
        <v xml:space="preserve"> smart watch</v>
      </c>
      <c r="C6" t="s">
        <v>6</v>
      </c>
      <c r="D6" t="s">
        <v>19</v>
      </c>
      <c r="E6" t="s">
        <v>20</v>
      </c>
      <c r="F6" t="s">
        <v>21</v>
      </c>
      <c r="H6">
        <f>LEN(Product[[#This Row],[Product Code]])</f>
        <v>9</v>
      </c>
      <c r="I6" t="str">
        <f>CLEAN(Product[[#This Row],[Product Code]])</f>
        <v>ITEM-105</v>
      </c>
      <c r="J6">
        <f t="shared" si="0"/>
        <v>8</v>
      </c>
      <c r="K6">
        <f>LEN(Product[[#This Row],[Product Name]])</f>
        <v>12</v>
      </c>
      <c r="L6" t="str">
        <f>TRIM(Product[[#This Row],[Product Name]])</f>
        <v>smart watch</v>
      </c>
      <c r="M6">
        <f t="shared" si="1"/>
        <v>11</v>
      </c>
      <c r="N6" t="str">
        <f t="shared" si="2"/>
        <v>SMART WATCH</v>
      </c>
      <c r="O6" t="str">
        <f t="shared" si="3"/>
        <v>smart watch</v>
      </c>
      <c r="P6" t="str">
        <f t="shared" si="4"/>
        <v>Smart Watch</v>
      </c>
    </row>
    <row r="7" spans="1:16" x14ac:dyDescent="0.25">
      <c r="A7" t="str">
        <f>"ITEM-106" &amp; CHAR(10)</f>
        <v xml:space="preserve">ITEM-106
</v>
      </c>
      <c r="B7" t="str">
        <f>"bluetooth speaker "</f>
        <v xml:space="preserve">bluetooth speaker </v>
      </c>
      <c r="C7" t="s">
        <v>6</v>
      </c>
      <c r="D7" t="s">
        <v>13</v>
      </c>
      <c r="E7" t="s">
        <v>22</v>
      </c>
      <c r="F7" t="s">
        <v>23</v>
      </c>
      <c r="H7">
        <f>LEN(Product[[#This Row],[Product Code]])</f>
        <v>9</v>
      </c>
      <c r="I7" t="str">
        <f>CLEAN(Product[[#This Row],[Product Code]])</f>
        <v>ITEM-106</v>
      </c>
      <c r="J7">
        <f t="shared" si="0"/>
        <v>8</v>
      </c>
      <c r="K7">
        <f>LEN(Product[[#This Row],[Product Name]])</f>
        <v>18</v>
      </c>
      <c r="L7" t="str">
        <f>TRIM(Product[[#This Row],[Product Name]])</f>
        <v>bluetooth speaker</v>
      </c>
      <c r="M7">
        <f t="shared" si="1"/>
        <v>17</v>
      </c>
      <c r="N7" t="str">
        <f t="shared" si="2"/>
        <v>BLUETOOTH SPEAKER</v>
      </c>
      <c r="O7" t="str">
        <f t="shared" si="3"/>
        <v>bluetooth speaker</v>
      </c>
      <c r="P7" t="str">
        <f t="shared" si="4"/>
        <v>Bluetooth Speaker</v>
      </c>
    </row>
    <row r="8" spans="1:16" x14ac:dyDescent="0.25">
      <c r="A8" t="str">
        <f>"ITEM-107" &amp; CHAR(10)</f>
        <v xml:space="preserve">ITEM-107
</v>
      </c>
      <c r="B8" t="str">
        <f>" laptop stand"</f>
        <v xml:space="preserve"> laptop stand</v>
      </c>
      <c r="C8" t="s">
        <v>6</v>
      </c>
      <c r="D8" t="s">
        <v>7</v>
      </c>
      <c r="E8" t="s">
        <v>24</v>
      </c>
      <c r="F8" t="s">
        <v>25</v>
      </c>
      <c r="H8">
        <f>LEN(Product[[#This Row],[Product Code]])</f>
        <v>9</v>
      </c>
      <c r="I8" t="str">
        <f>CLEAN(Product[[#This Row],[Product Code]])</f>
        <v>ITEM-107</v>
      </c>
      <c r="J8">
        <f t="shared" si="0"/>
        <v>8</v>
      </c>
      <c r="K8">
        <f>LEN(Product[[#This Row],[Product Name]])</f>
        <v>13</v>
      </c>
      <c r="L8" t="str">
        <f>TRIM(Product[[#This Row],[Product Name]])</f>
        <v>laptop stand</v>
      </c>
      <c r="M8">
        <f t="shared" si="1"/>
        <v>12</v>
      </c>
      <c r="N8" t="str">
        <f t="shared" si="2"/>
        <v>LAPTOP STAND</v>
      </c>
      <c r="O8" t="str">
        <f t="shared" si="3"/>
        <v>laptop stand</v>
      </c>
      <c r="P8" t="str">
        <f t="shared" si="4"/>
        <v>Laptop Stand</v>
      </c>
    </row>
    <row r="9" spans="1:16" x14ac:dyDescent="0.25">
      <c r="A9" t="str">
        <f>"ITEM-108" &amp; CHAR(10)</f>
        <v xml:space="preserve">ITEM-108
</v>
      </c>
      <c r="B9" t="str">
        <f>"web camera "</f>
        <v xml:space="preserve">web camera </v>
      </c>
      <c r="C9" t="s">
        <v>6</v>
      </c>
      <c r="D9" t="s">
        <v>26</v>
      </c>
      <c r="E9" t="s">
        <v>8</v>
      </c>
      <c r="F9" t="s">
        <v>27</v>
      </c>
      <c r="H9">
        <f>LEN(Product[[#This Row],[Product Code]])</f>
        <v>9</v>
      </c>
      <c r="I9" t="str">
        <f>CLEAN(Product[[#This Row],[Product Code]])</f>
        <v>ITEM-108</v>
      </c>
      <c r="J9">
        <f t="shared" si="0"/>
        <v>8</v>
      </c>
      <c r="K9">
        <f>LEN(Product[[#This Row],[Product Name]])</f>
        <v>11</v>
      </c>
      <c r="L9" t="str">
        <f>TRIM(Product[[#This Row],[Product Name]])</f>
        <v>web camera</v>
      </c>
      <c r="M9">
        <f t="shared" si="1"/>
        <v>10</v>
      </c>
      <c r="N9" t="str">
        <f t="shared" si="2"/>
        <v>WEB CAMERA</v>
      </c>
      <c r="O9" t="str">
        <f t="shared" si="3"/>
        <v>web camera</v>
      </c>
      <c r="P9" t="str">
        <f t="shared" si="4"/>
        <v>Web Camera</v>
      </c>
    </row>
    <row r="10" spans="1:16" x14ac:dyDescent="0.25">
      <c r="A10" t="str">
        <f>"ITEM-109" &amp; CHAR(10)</f>
        <v xml:space="preserve">ITEM-109
</v>
      </c>
      <c r="B10" t="str">
        <f>" memory card"</f>
        <v xml:space="preserve"> memory card</v>
      </c>
      <c r="C10" t="s">
        <v>6</v>
      </c>
      <c r="D10" t="s">
        <v>28</v>
      </c>
      <c r="E10" t="s">
        <v>29</v>
      </c>
      <c r="F10" t="s">
        <v>30</v>
      </c>
      <c r="H10">
        <f>LEN(Product[[#This Row],[Product Code]])</f>
        <v>9</v>
      </c>
      <c r="I10" t="str">
        <f>CLEAN(Product[[#This Row],[Product Code]])</f>
        <v>ITEM-109</v>
      </c>
      <c r="J10">
        <f t="shared" si="0"/>
        <v>8</v>
      </c>
      <c r="K10">
        <f>LEN(Product[[#This Row],[Product Name]])</f>
        <v>12</v>
      </c>
      <c r="L10" t="str">
        <f>TRIM(Product[[#This Row],[Product Name]])</f>
        <v>memory card</v>
      </c>
      <c r="M10">
        <f t="shared" si="1"/>
        <v>11</v>
      </c>
      <c r="N10" t="str">
        <f t="shared" si="2"/>
        <v>MEMORY CARD</v>
      </c>
      <c r="O10" t="str">
        <f t="shared" si="3"/>
        <v>memory card</v>
      </c>
      <c r="P10" t="str">
        <f t="shared" si="4"/>
        <v>Memory Card</v>
      </c>
    </row>
    <row r="11" spans="1:16" x14ac:dyDescent="0.25">
      <c r="A11" t="str">
        <f>"ITEM-110" &amp; CHAR(10)</f>
        <v xml:space="preserve">ITEM-110
</v>
      </c>
      <c r="B11" t="str">
        <f>"power bank "</f>
        <v xml:space="preserve">power bank </v>
      </c>
      <c r="C11" t="s">
        <v>6</v>
      </c>
      <c r="D11" t="s">
        <v>31</v>
      </c>
      <c r="E11" t="s">
        <v>17</v>
      </c>
      <c r="F11" t="s">
        <v>32</v>
      </c>
      <c r="H11">
        <f>LEN(Product[[#This Row],[Product Code]])</f>
        <v>9</v>
      </c>
      <c r="I11" t="str">
        <f>CLEAN(Product[[#This Row],[Product Code]])</f>
        <v>ITEM-110</v>
      </c>
      <c r="J11">
        <f t="shared" si="0"/>
        <v>8</v>
      </c>
      <c r="K11">
        <f>LEN(Product[[#This Row],[Product Name]])</f>
        <v>11</v>
      </c>
      <c r="L11" t="str">
        <f>TRIM(Product[[#This Row],[Product Name]])</f>
        <v>power bank</v>
      </c>
      <c r="M11">
        <f t="shared" si="1"/>
        <v>10</v>
      </c>
      <c r="N11" t="str">
        <f t="shared" si="2"/>
        <v>POWER BANK</v>
      </c>
      <c r="O11" t="str">
        <f t="shared" si="3"/>
        <v>power bank</v>
      </c>
      <c r="P11" t="str">
        <f t="shared" si="4"/>
        <v>Power Bank</v>
      </c>
    </row>
    <row r="12" spans="1:16" x14ac:dyDescent="0.25">
      <c r="A12" t="str">
        <f>"ITEM-111" &amp; CHAR(10)</f>
        <v xml:space="preserve">ITEM-111
</v>
      </c>
      <c r="B12" t="str">
        <f>" phone case"</f>
        <v xml:space="preserve"> phone case</v>
      </c>
      <c r="C12" t="s">
        <v>6</v>
      </c>
      <c r="D12" t="s">
        <v>7</v>
      </c>
      <c r="E12" t="s">
        <v>33</v>
      </c>
      <c r="F12" t="s">
        <v>34</v>
      </c>
      <c r="H12">
        <f>LEN(Product[[#This Row],[Product Code]])</f>
        <v>9</v>
      </c>
      <c r="I12" t="str">
        <f>CLEAN(Product[[#This Row],[Product Code]])</f>
        <v>ITEM-111</v>
      </c>
      <c r="J12">
        <f t="shared" si="0"/>
        <v>8</v>
      </c>
      <c r="K12">
        <f>LEN(Product[[#This Row],[Product Name]])</f>
        <v>11</v>
      </c>
      <c r="L12" t="str">
        <f>TRIM(Product[[#This Row],[Product Name]])</f>
        <v>phone case</v>
      </c>
      <c r="M12">
        <f t="shared" si="1"/>
        <v>10</v>
      </c>
      <c r="N12" t="str">
        <f t="shared" si="2"/>
        <v>PHONE CASE</v>
      </c>
      <c r="O12" t="str">
        <f t="shared" si="3"/>
        <v>phone case</v>
      </c>
      <c r="P12" t="str">
        <f t="shared" si="4"/>
        <v>Phone Case</v>
      </c>
    </row>
    <row r="13" spans="1:16" x14ac:dyDescent="0.25">
      <c r="A13" t="str">
        <f>"ITEM-112" &amp; CHAR(10)</f>
        <v xml:space="preserve">ITEM-112
</v>
      </c>
      <c r="B13" t="str">
        <f>"desk mat "</f>
        <v xml:space="preserve">desk mat </v>
      </c>
      <c r="C13" t="s">
        <v>35</v>
      </c>
      <c r="D13" t="s">
        <v>36</v>
      </c>
      <c r="E13" t="s">
        <v>37</v>
      </c>
      <c r="F13" t="s">
        <v>38</v>
      </c>
      <c r="H13">
        <f>LEN(Product[[#This Row],[Product Code]])</f>
        <v>9</v>
      </c>
      <c r="I13" t="str">
        <f>CLEAN(Product[[#This Row],[Product Code]])</f>
        <v>ITEM-112</v>
      </c>
      <c r="J13">
        <f t="shared" si="0"/>
        <v>8</v>
      </c>
      <c r="K13">
        <f>LEN(Product[[#This Row],[Product Name]])</f>
        <v>9</v>
      </c>
      <c r="L13" t="str">
        <f>TRIM(Product[[#This Row],[Product Name]])</f>
        <v>desk mat</v>
      </c>
      <c r="M13">
        <f t="shared" si="1"/>
        <v>8</v>
      </c>
      <c r="N13" t="str">
        <f t="shared" si="2"/>
        <v>DESK MAT</v>
      </c>
      <c r="O13" t="str">
        <f t="shared" si="3"/>
        <v>desk mat</v>
      </c>
      <c r="P13" t="str">
        <f t="shared" si="4"/>
        <v>Desk Mat</v>
      </c>
    </row>
    <row r="14" spans="1:16" x14ac:dyDescent="0.25">
      <c r="A14" t="str">
        <f>"ITEM-113" &amp; CHAR(10)</f>
        <v xml:space="preserve">ITEM-113
</v>
      </c>
      <c r="B14" t="str">
        <f>" ring light"</f>
        <v xml:space="preserve"> ring light</v>
      </c>
      <c r="C14" t="s">
        <v>6</v>
      </c>
      <c r="D14" t="s">
        <v>39</v>
      </c>
      <c r="E14" t="s">
        <v>40</v>
      </c>
      <c r="F14" t="s">
        <v>41</v>
      </c>
      <c r="H14">
        <f>LEN(Product[[#This Row],[Product Code]])</f>
        <v>9</v>
      </c>
      <c r="I14" t="str">
        <f>CLEAN(Product[[#This Row],[Product Code]])</f>
        <v>ITEM-113</v>
      </c>
      <c r="J14">
        <f t="shared" si="0"/>
        <v>8</v>
      </c>
      <c r="K14">
        <f>LEN(Product[[#This Row],[Product Name]])</f>
        <v>11</v>
      </c>
      <c r="L14" t="str">
        <f>TRIM(Product[[#This Row],[Product Name]])</f>
        <v>ring light</v>
      </c>
      <c r="M14">
        <f t="shared" si="1"/>
        <v>10</v>
      </c>
      <c r="N14" t="str">
        <f t="shared" si="2"/>
        <v>RING LIGHT</v>
      </c>
      <c r="O14" t="str">
        <f t="shared" si="3"/>
        <v>ring light</v>
      </c>
      <c r="P14" t="str">
        <f t="shared" si="4"/>
        <v>Ring Light</v>
      </c>
    </row>
    <row r="15" spans="1:16" x14ac:dyDescent="0.25">
      <c r="A15" t="str">
        <f>"ITEM-114" &amp; CHAR(10)</f>
        <v xml:space="preserve">ITEM-114
</v>
      </c>
      <c r="B15" t="str">
        <f>"hdmi adapter "</f>
        <v xml:space="preserve">hdmi adapter </v>
      </c>
      <c r="C15" t="s">
        <v>6</v>
      </c>
      <c r="D15" t="s">
        <v>16</v>
      </c>
      <c r="E15" t="s">
        <v>42</v>
      </c>
      <c r="F15" t="s">
        <v>43</v>
      </c>
      <c r="H15">
        <f>LEN(Product[[#This Row],[Product Code]])</f>
        <v>9</v>
      </c>
      <c r="I15" t="str">
        <f>CLEAN(Product[[#This Row],[Product Code]])</f>
        <v>ITEM-114</v>
      </c>
      <c r="J15">
        <f t="shared" si="0"/>
        <v>8</v>
      </c>
      <c r="K15">
        <f>LEN(Product[[#This Row],[Product Name]])</f>
        <v>13</v>
      </c>
      <c r="L15" t="str">
        <f>TRIM(Product[[#This Row],[Product Name]])</f>
        <v>hdmi adapter</v>
      </c>
      <c r="M15">
        <f t="shared" si="1"/>
        <v>12</v>
      </c>
      <c r="N15" t="str">
        <f t="shared" si="2"/>
        <v>HDMI ADAPTER</v>
      </c>
      <c r="O15" t="str">
        <f t="shared" si="3"/>
        <v>hdmi adapter</v>
      </c>
      <c r="P15" t="str">
        <f t="shared" si="4"/>
        <v>Hdmi Adapter</v>
      </c>
    </row>
    <row r="16" spans="1:16" x14ac:dyDescent="0.25">
      <c r="A16" t="str">
        <f>"ITEM-115" &amp; CHAR(10)</f>
        <v xml:space="preserve">ITEM-115
</v>
      </c>
      <c r="B16" t="str">
        <f>" solar charger"</f>
        <v xml:space="preserve"> solar charger</v>
      </c>
      <c r="C16" t="s">
        <v>6</v>
      </c>
      <c r="D16" t="s">
        <v>31</v>
      </c>
      <c r="E16" t="s">
        <v>44</v>
      </c>
      <c r="F16" t="s">
        <v>45</v>
      </c>
      <c r="H16">
        <f>LEN(Product[[#This Row],[Product Code]])</f>
        <v>9</v>
      </c>
      <c r="I16" t="str">
        <f>CLEAN(Product[[#This Row],[Product Code]])</f>
        <v>ITEM-115</v>
      </c>
      <c r="J16">
        <f t="shared" si="0"/>
        <v>8</v>
      </c>
      <c r="K16">
        <f>LEN(Product[[#This Row],[Product Name]])</f>
        <v>14</v>
      </c>
      <c r="L16" t="str">
        <f>TRIM(Product[[#This Row],[Product Name]])</f>
        <v>solar charger</v>
      </c>
      <c r="M16">
        <f t="shared" si="1"/>
        <v>13</v>
      </c>
      <c r="N16" t="str">
        <f t="shared" si="2"/>
        <v>SOLAR CHARGER</v>
      </c>
      <c r="O16" t="str">
        <f t="shared" si="3"/>
        <v>solar charger</v>
      </c>
      <c r="P16" t="str">
        <f t="shared" si="4"/>
        <v>Solar Charger</v>
      </c>
    </row>
    <row r="17" spans="1:16" x14ac:dyDescent="0.25">
      <c r="A17" t="str">
        <f>"ITEM-116" &amp; CHAR(10)</f>
        <v xml:space="preserve">ITEM-116
</v>
      </c>
      <c r="B17" t="str">
        <f>"fitness band "</f>
        <v xml:space="preserve">fitness band </v>
      </c>
      <c r="C17" t="s">
        <v>6</v>
      </c>
      <c r="D17" t="s">
        <v>19</v>
      </c>
      <c r="E17" t="s">
        <v>46</v>
      </c>
      <c r="F17" t="s">
        <v>47</v>
      </c>
      <c r="H17">
        <f>LEN(Product[[#This Row],[Product Code]])</f>
        <v>9</v>
      </c>
      <c r="I17" t="str">
        <f>CLEAN(Product[[#This Row],[Product Code]])</f>
        <v>ITEM-116</v>
      </c>
      <c r="J17">
        <f t="shared" si="0"/>
        <v>8</v>
      </c>
      <c r="K17">
        <f>LEN(Product[[#This Row],[Product Name]])</f>
        <v>13</v>
      </c>
      <c r="L17" t="str">
        <f>TRIM(Product[[#This Row],[Product Name]])</f>
        <v>fitness band</v>
      </c>
      <c r="M17">
        <f t="shared" si="1"/>
        <v>12</v>
      </c>
      <c r="N17" t="str">
        <f t="shared" si="2"/>
        <v>FITNESS BAND</v>
      </c>
      <c r="O17" t="str">
        <f t="shared" si="3"/>
        <v>fitness band</v>
      </c>
      <c r="P17" t="str">
        <f t="shared" si="4"/>
        <v>Fitness Band</v>
      </c>
    </row>
    <row r="18" spans="1:16" x14ac:dyDescent="0.25">
      <c r="A18" t="str">
        <f>"ITEM-117" &amp; CHAR(10)</f>
        <v xml:space="preserve">ITEM-117
</v>
      </c>
      <c r="B18" t="str">
        <f>" noise earplugs"</f>
        <v xml:space="preserve"> noise earplugs</v>
      </c>
      <c r="C18" t="s">
        <v>6</v>
      </c>
      <c r="D18" t="s">
        <v>13</v>
      </c>
      <c r="E18" t="s">
        <v>48</v>
      </c>
      <c r="F18" t="s">
        <v>49</v>
      </c>
      <c r="H18">
        <f>LEN(Product[[#This Row],[Product Code]])</f>
        <v>9</v>
      </c>
      <c r="I18" t="str">
        <f>CLEAN(Product[[#This Row],[Product Code]])</f>
        <v>ITEM-117</v>
      </c>
      <c r="J18">
        <f t="shared" si="0"/>
        <v>8</v>
      </c>
      <c r="K18">
        <f>LEN(Product[[#This Row],[Product Name]])</f>
        <v>15</v>
      </c>
      <c r="L18" t="str">
        <f>TRIM(Product[[#This Row],[Product Name]])</f>
        <v>noise earplugs</v>
      </c>
      <c r="M18">
        <f t="shared" si="1"/>
        <v>14</v>
      </c>
      <c r="N18" t="str">
        <f t="shared" si="2"/>
        <v>NOISE EARPLUGS</v>
      </c>
      <c r="O18" t="str">
        <f t="shared" si="3"/>
        <v>noise earplugs</v>
      </c>
      <c r="P18" t="str">
        <f t="shared" si="4"/>
        <v>Noise Earplugs</v>
      </c>
    </row>
    <row r="19" spans="1:16" x14ac:dyDescent="0.25">
      <c r="A19" t="str">
        <f>"ITEM-118" &amp; CHAR(10)</f>
        <v xml:space="preserve">ITEM-118
</v>
      </c>
      <c r="B19" t="str">
        <f>"wifi router "</f>
        <v xml:space="preserve">wifi router </v>
      </c>
      <c r="C19" t="s">
        <v>6</v>
      </c>
      <c r="D19" t="s">
        <v>50</v>
      </c>
      <c r="E19" t="s">
        <v>51</v>
      </c>
      <c r="F19" t="s">
        <v>52</v>
      </c>
      <c r="H19">
        <f>LEN(Product[[#This Row],[Product Code]])</f>
        <v>9</v>
      </c>
      <c r="I19" t="str">
        <f>CLEAN(Product[[#This Row],[Product Code]])</f>
        <v>ITEM-118</v>
      </c>
      <c r="J19">
        <f t="shared" si="0"/>
        <v>8</v>
      </c>
      <c r="K19">
        <f>LEN(Product[[#This Row],[Product Name]])</f>
        <v>12</v>
      </c>
      <c r="L19" t="str">
        <f>TRIM(Product[[#This Row],[Product Name]])</f>
        <v>wifi router</v>
      </c>
      <c r="M19">
        <f t="shared" si="1"/>
        <v>11</v>
      </c>
      <c r="N19" t="str">
        <f t="shared" si="2"/>
        <v>WIFI ROUTER</v>
      </c>
      <c r="O19" t="str">
        <f t="shared" si="3"/>
        <v>wifi router</v>
      </c>
      <c r="P19" t="str">
        <f t="shared" si="4"/>
        <v>Wifi Router</v>
      </c>
    </row>
    <row r="20" spans="1:16" x14ac:dyDescent="0.25">
      <c r="A20" t="str">
        <f>"ITEM-119" &amp; CHAR(10)</f>
        <v xml:space="preserve">ITEM-119
</v>
      </c>
      <c r="B20" t="str">
        <f>" thermal printer"</f>
        <v xml:space="preserve"> thermal printer</v>
      </c>
      <c r="C20" t="s">
        <v>35</v>
      </c>
      <c r="D20" t="s">
        <v>53</v>
      </c>
      <c r="E20" t="s">
        <v>54</v>
      </c>
      <c r="F20" t="s">
        <v>55</v>
      </c>
      <c r="H20">
        <f>LEN(Product[[#This Row],[Product Code]])</f>
        <v>9</v>
      </c>
      <c r="I20" t="str">
        <f>CLEAN(Product[[#This Row],[Product Code]])</f>
        <v>ITEM-119</v>
      </c>
      <c r="J20">
        <f t="shared" si="0"/>
        <v>8</v>
      </c>
      <c r="K20">
        <f>LEN(Product[[#This Row],[Product Name]])</f>
        <v>16</v>
      </c>
      <c r="L20" t="str">
        <f>TRIM(Product[[#This Row],[Product Name]])</f>
        <v>thermal printer</v>
      </c>
      <c r="M20">
        <f t="shared" si="1"/>
        <v>15</v>
      </c>
      <c r="N20" t="str">
        <f t="shared" si="2"/>
        <v>THERMAL PRINTER</v>
      </c>
      <c r="O20" t="str">
        <f t="shared" si="3"/>
        <v>thermal printer</v>
      </c>
      <c r="P20" t="str">
        <f t="shared" si="4"/>
        <v>Thermal Printer</v>
      </c>
    </row>
    <row r="21" spans="1:16" x14ac:dyDescent="0.25">
      <c r="A21" t="str">
        <f>"ITEM-120" &amp; CHAR(10)</f>
        <v xml:space="preserve">ITEM-120
</v>
      </c>
      <c r="B21" t="str">
        <f>"action camera "</f>
        <v xml:space="preserve">action camera </v>
      </c>
      <c r="C21" t="s">
        <v>6</v>
      </c>
      <c r="D21" t="s">
        <v>26</v>
      </c>
      <c r="E21" t="s">
        <v>56</v>
      </c>
      <c r="F21" t="s">
        <v>57</v>
      </c>
      <c r="H21">
        <f>LEN(Product[[#This Row],[Product Code]])</f>
        <v>9</v>
      </c>
      <c r="I21" t="str">
        <f>CLEAN(Product[[#This Row],[Product Code]])</f>
        <v>ITEM-120</v>
      </c>
      <c r="J21">
        <f t="shared" si="0"/>
        <v>8</v>
      </c>
      <c r="K21">
        <f>LEN(Product[[#This Row],[Product Name]])</f>
        <v>14</v>
      </c>
      <c r="L21" t="str">
        <f>TRIM(Product[[#This Row],[Product Name]])</f>
        <v>action camera</v>
      </c>
      <c r="M21">
        <f t="shared" si="1"/>
        <v>13</v>
      </c>
      <c r="N21" t="str">
        <f t="shared" si="2"/>
        <v>ACTION CAMERA</v>
      </c>
      <c r="O21" t="str">
        <f t="shared" si="3"/>
        <v>action camera</v>
      </c>
      <c r="P21" t="str">
        <f t="shared" si="4"/>
        <v>Action Camera</v>
      </c>
    </row>
    <row r="23" spans="1:16" ht="180" x14ac:dyDescent="0.25">
      <c r="I23" s="1" t="s">
        <v>61</v>
      </c>
      <c r="L23" s="1" t="s">
        <v>62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8D353-168B-4740-8E45-8846BE32BD5B}">
  <dimension ref="A1:U28"/>
  <sheetViews>
    <sheetView tabSelected="1" workbookViewId="0">
      <selection activeCell="M3" sqref="M3"/>
    </sheetView>
  </sheetViews>
  <sheetFormatPr defaultRowHeight="15" x14ac:dyDescent="0.25"/>
  <cols>
    <col min="1" max="1" width="15.140625" bestFit="1" customWidth="1"/>
    <col min="2" max="2" width="20" bestFit="1" customWidth="1"/>
    <col min="3" max="3" width="11.140625" bestFit="1" customWidth="1"/>
    <col min="4" max="4" width="14.140625" bestFit="1" customWidth="1"/>
    <col min="5" max="5" width="9.28515625" bestFit="1" customWidth="1"/>
    <col min="6" max="6" width="17" bestFit="1" customWidth="1"/>
    <col min="8" max="8" width="20.140625" bestFit="1" customWidth="1"/>
    <col min="9" max="12" width="10.28515625" bestFit="1" customWidth="1"/>
    <col min="13" max="13" width="10.28515625" customWidth="1"/>
    <col min="14" max="14" width="20.140625" bestFit="1" customWidth="1"/>
    <col min="15" max="15" width="10.28515625" bestFit="1" customWidth="1"/>
    <col min="16" max="16" width="9.85546875" bestFit="1" customWidth="1"/>
    <col min="17" max="17" width="11.5703125" bestFit="1" customWidth="1"/>
    <col min="18" max="18" width="13.140625" bestFit="1" customWidth="1"/>
    <col min="19" max="19" width="12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2" t="s">
        <v>111</v>
      </c>
      <c r="I1" s="2" t="s">
        <v>112</v>
      </c>
      <c r="J1" s="2" t="s">
        <v>113</v>
      </c>
      <c r="K1" s="2" t="s">
        <v>114</v>
      </c>
      <c r="L1" s="3" t="s">
        <v>115</v>
      </c>
      <c r="M1" s="3"/>
      <c r="N1" s="3" t="s">
        <v>116</v>
      </c>
      <c r="O1" s="3"/>
      <c r="P1" s="3" t="s">
        <v>121</v>
      </c>
      <c r="Q1" s="3"/>
      <c r="R1" s="3" t="s">
        <v>122</v>
      </c>
      <c r="S1" s="3"/>
      <c r="U1" t="s">
        <v>124</v>
      </c>
    </row>
    <row r="2" spans="1:21" x14ac:dyDescent="0.25">
      <c r="A2" t="s">
        <v>68</v>
      </c>
      <c r="B2" t="s">
        <v>88</v>
      </c>
      <c r="C2" t="s">
        <v>6</v>
      </c>
      <c r="D2" t="s">
        <v>7</v>
      </c>
      <c r="E2" t="s">
        <v>8</v>
      </c>
      <c r="F2" t="s">
        <v>9</v>
      </c>
      <c r="H2" t="str">
        <f>LEFT(Prod[[#This Row],[Product Code]],4)</f>
        <v>ITEM</v>
      </c>
      <c r="I2" t="str">
        <f>RIGHT(Prod[[#This Row],[Product Code]],3)</f>
        <v>101</v>
      </c>
      <c r="J2" t="str">
        <f>MID(Prod[[#This Row],[Product Code]],5,1)</f>
        <v>-</v>
      </c>
      <c r="K2" t="str">
        <f>_xlfn.CONCAT(H2, " ", I2)</f>
        <v>ITEM 101</v>
      </c>
      <c r="L2" t="str">
        <f>IFERROR(FIND("-",Prod[[#This Row],[Model Number]],4), "Not Found")</f>
        <v>Not Found</v>
      </c>
      <c r="M2" t="str">
        <f>IFERROR(FIND("w",Prod[[#This Row],[Product Name]]), "Not Found")</f>
        <v>Not Found</v>
      </c>
      <c r="N2" t="str">
        <f>IFERROR(SEARCH("-",Prod[[#This Row],[Model Number]],4), "Not Found")</f>
        <v>Not Found</v>
      </c>
      <c r="O2">
        <f>IFERROR(SEARCH("w",Prod[[#This Row],[Product Name]]), "Not Found")</f>
        <v>1</v>
      </c>
      <c r="P2" t="str">
        <f>REPLACE(Prod[[#This Row],[Product Code]], 5, 1, " - ")</f>
        <v>ITEM - 101</v>
      </c>
      <c r="Q2" t="str">
        <f>REPLACE(Prod[[#This Row],[Product Code]], 1,4, "Product")</f>
        <v>Product-101</v>
      </c>
      <c r="R2" t="str">
        <f>SUBSTITUTE(Prod[[#This Row],[Model Number]], "-", "_")</f>
        <v>M330</v>
      </c>
      <c r="S2" t="str">
        <f>SUBSTITUTE(Prod[[#This Row],[Model Number]], "-", "_",2)</f>
        <v>M330</v>
      </c>
      <c r="T2" t="str">
        <f>IFERROR(FIND("-",Prod[[#This Row],[Model Number]],2),"not found")</f>
        <v>not found</v>
      </c>
    </row>
    <row r="3" spans="1:21" x14ac:dyDescent="0.25">
      <c r="A3" t="s">
        <v>69</v>
      </c>
      <c r="B3" t="s">
        <v>89</v>
      </c>
      <c r="C3" t="s">
        <v>6</v>
      </c>
      <c r="D3" t="s">
        <v>10</v>
      </c>
      <c r="E3" t="s">
        <v>11</v>
      </c>
      <c r="F3" t="s">
        <v>108</v>
      </c>
      <c r="H3" t="str">
        <f>LEFT(Prod[[#This Row],[Product Code]],4)</f>
        <v>ITEM</v>
      </c>
      <c r="I3" t="str">
        <f>RIGHT(Prod[[#This Row],[Product Code]],3)</f>
        <v>102</v>
      </c>
      <c r="J3" t="str">
        <f>MID(Prod[[#This Row],[Product Code]],5,1)</f>
        <v>-</v>
      </c>
      <c r="K3" t="str">
        <f t="shared" ref="K3:K21" si="0">_xlfn.CONCAT(H3, " ", I3)</f>
        <v>ITEM 102</v>
      </c>
      <c r="L3">
        <f>IFERROR(FIND("-",Prod[[#This Row],[Model Number]],4), "Not Found")</f>
        <v>6</v>
      </c>
      <c r="M3" t="str">
        <f>IFERROR(FIND("w",Prod[[#This Row],[Product Name]]), "Not Found")</f>
        <v>Not Found</v>
      </c>
      <c r="N3">
        <f>IFERROR(SEARCH("-",Prod[[#This Row],[Model Number]],4), "Not Found")</f>
        <v>6</v>
      </c>
      <c r="O3" t="str">
        <f>IFERROR(SEARCH("w",Prod[[#This Row],[Product Name]]), "Not Found")</f>
        <v>Not Found</v>
      </c>
      <c r="P3" t="str">
        <f>REPLACE(Prod[[#This Row],[Product Code]], 5, 1, " - ")</f>
        <v>ITEM - 102</v>
      </c>
      <c r="Q3" t="str">
        <f>REPLACE(Prod[[#This Row],[Product Code]], 1,4, "Product")</f>
        <v>Product-102</v>
      </c>
      <c r="R3" t="str">
        <f>SUBSTITUTE(Prod[[#This Row],[Model Number]], "-", "_")</f>
        <v>K2_V2_3</v>
      </c>
      <c r="S3" t="str">
        <f>SUBSTITUTE(Prod[[#This Row],[Model Number]], "-", "_",2)</f>
        <v>K2-V2_3</v>
      </c>
      <c r="T3">
        <f>IFERROR(FIND("-",Prod[[#This Row],[Model Number]],2),"not found")</f>
        <v>3</v>
      </c>
    </row>
    <row r="4" spans="1:21" x14ac:dyDescent="0.25">
      <c r="A4" t="s">
        <v>70</v>
      </c>
      <c r="B4" t="s">
        <v>90</v>
      </c>
      <c r="C4" t="s">
        <v>6</v>
      </c>
      <c r="D4" t="s">
        <v>13</v>
      </c>
      <c r="E4" t="s">
        <v>14</v>
      </c>
      <c r="F4" t="s">
        <v>15</v>
      </c>
      <c r="H4" t="str">
        <f>LEFT(Prod[[#This Row],[Product Code]],4)</f>
        <v>ITEM</v>
      </c>
      <c r="I4" t="str">
        <f>RIGHT(Prod[[#This Row],[Product Code]],3)</f>
        <v>103</v>
      </c>
      <c r="J4" t="str">
        <f>MID(Prod[[#This Row],[Product Code]],5,1)</f>
        <v>-</v>
      </c>
      <c r="K4" t="str">
        <f t="shared" si="0"/>
        <v>ITEM 103</v>
      </c>
      <c r="L4" t="str">
        <f>IFERROR(FIND("-",Prod[[#This Row],[Model Number]],4), "Not Found")</f>
        <v>Not Found</v>
      </c>
      <c r="M4" t="str">
        <f>IFERROR(FIND("w",Prod[[#This Row],[Product Name]]), "Not Found")</f>
        <v>Not Found</v>
      </c>
      <c r="N4" t="str">
        <f>IFERROR(SEARCH("-",Prod[[#This Row],[Model Number]],4), "Not Found")</f>
        <v>Not Found</v>
      </c>
      <c r="O4" t="str">
        <f>IFERROR(SEARCH("w",Prod[[#This Row],[Product Name]]), "Not Found")</f>
        <v>Not Found</v>
      </c>
      <c r="P4" t="str">
        <f>REPLACE(Prod[[#This Row],[Product Code]], 5, 1, " - ")</f>
        <v>ITEM - 103</v>
      </c>
      <c r="Q4" t="str">
        <f>REPLACE(Prod[[#This Row],[Product Code]], 1,4, "Product")</f>
        <v>Product-103</v>
      </c>
      <c r="R4" t="str">
        <f>SUBSTITUTE(Prod[[#This Row],[Model Number]], "-", "_")</f>
        <v>RZ04</v>
      </c>
      <c r="S4" t="str">
        <f>SUBSTITUTE(Prod[[#This Row],[Model Number]], "-", "_",2)</f>
        <v>RZ04</v>
      </c>
      <c r="T4" t="str">
        <f>IFERROR(FIND("-",Prod[[#This Row],[Model Number]],2),"not found")</f>
        <v>not found</v>
      </c>
    </row>
    <row r="5" spans="1:21" x14ac:dyDescent="0.25">
      <c r="A5" t="s">
        <v>71</v>
      </c>
      <c r="B5" t="s">
        <v>91</v>
      </c>
      <c r="C5" t="s">
        <v>6</v>
      </c>
      <c r="D5" t="s">
        <v>16</v>
      </c>
      <c r="E5" t="s">
        <v>17</v>
      </c>
      <c r="F5" t="s">
        <v>18</v>
      </c>
      <c r="H5" t="str">
        <f>LEFT(Prod[[#This Row],[Product Code]],4)</f>
        <v>ITEM</v>
      </c>
      <c r="I5" t="str">
        <f>RIGHT(Prod[[#This Row],[Product Code]],3)</f>
        <v>104</v>
      </c>
      <c r="J5" t="str">
        <f>MID(Prod[[#This Row],[Product Code]],5,1)</f>
        <v>-</v>
      </c>
      <c r="K5" t="str">
        <f t="shared" si="0"/>
        <v>ITEM 104</v>
      </c>
      <c r="L5" t="str">
        <f>IFERROR(FIND("-",Prod[[#This Row],[Model Number]],4), "Not Found")</f>
        <v>Not Found</v>
      </c>
      <c r="M5" t="str">
        <f>IFERROR(FIND("w",Prod[[#This Row],[Product Name]]), "Not Found")</f>
        <v>Not Found</v>
      </c>
      <c r="N5" t="str">
        <f>IFERROR(SEARCH("-",Prod[[#This Row],[Model Number]],4), "Not Found")</f>
        <v>Not Found</v>
      </c>
      <c r="O5" t="str">
        <f>IFERROR(SEARCH("w",Prod[[#This Row],[Product Name]]), "Not Found")</f>
        <v>Not Found</v>
      </c>
      <c r="P5" t="str">
        <f>REPLACE(Prod[[#This Row],[Product Code]], 5, 1, " - ")</f>
        <v>ITEM - 104</v>
      </c>
      <c r="Q5" t="str">
        <f>REPLACE(Prod[[#This Row],[Product Code]], 1,4, "Product")</f>
        <v>Product-104</v>
      </c>
      <c r="R5" t="str">
        <f>SUBSTITUTE(Prod[[#This Row],[Model Number]], "-", "_")</f>
        <v>A8823</v>
      </c>
      <c r="S5" t="str">
        <f>SUBSTITUTE(Prod[[#This Row],[Model Number]], "-", "_",2)</f>
        <v>A8823</v>
      </c>
      <c r="T5" t="str">
        <f>IFERROR(FIND("-",Prod[[#This Row],[Model Number]],2),"not found")</f>
        <v>not found</v>
      </c>
    </row>
    <row r="6" spans="1:21" x14ac:dyDescent="0.25">
      <c r="A6" t="s">
        <v>72</v>
      </c>
      <c r="B6" t="s">
        <v>92</v>
      </c>
      <c r="C6" t="s">
        <v>6</v>
      </c>
      <c r="D6" t="s">
        <v>19</v>
      </c>
      <c r="E6" t="s">
        <v>20</v>
      </c>
      <c r="F6" t="s">
        <v>21</v>
      </c>
      <c r="H6" t="str">
        <f>LEFT(Prod[[#This Row],[Product Code]],4)</f>
        <v>ITEM</v>
      </c>
      <c r="I6" t="str">
        <f>RIGHT(Prod[[#This Row],[Product Code]],3)</f>
        <v>105</v>
      </c>
      <c r="J6" t="str">
        <f>MID(Prod[[#This Row],[Product Code]],5,1)</f>
        <v>-</v>
      </c>
      <c r="K6" t="str">
        <f t="shared" si="0"/>
        <v>ITEM 105</v>
      </c>
      <c r="L6">
        <f>IFERROR(FIND("-",Prod[[#This Row],[Model Number]],4), "Not Found")</f>
        <v>5</v>
      </c>
      <c r="M6" t="str">
        <f>IFERROR(FIND("w",Prod[[#This Row],[Product Name]]), "Not Found")</f>
        <v>Not Found</v>
      </c>
      <c r="N6">
        <f>IFERROR(SEARCH("-",Prod[[#This Row],[Model Number]],4), "Not Found")</f>
        <v>5</v>
      </c>
      <c r="O6">
        <f>IFERROR(SEARCH("w",Prod[[#This Row],[Product Name]]), "Not Found")</f>
        <v>7</v>
      </c>
      <c r="P6" t="str">
        <f>REPLACE(Prod[[#This Row],[Product Code]], 5, 1, " - ")</f>
        <v>ITEM - 105</v>
      </c>
      <c r="Q6" t="str">
        <f>REPLACE(Prod[[#This Row],[Product Code]], 1,4, "Product")</f>
        <v>Product-105</v>
      </c>
      <c r="R6" t="str">
        <f>SUBSTITUTE(Prod[[#This Row],[Model Number]], "-", "_")</f>
        <v>Venu_2</v>
      </c>
      <c r="S6" t="str">
        <f>SUBSTITUTE(Prod[[#This Row],[Model Number]], "-", "_",2)</f>
        <v>Venu-2</v>
      </c>
      <c r="T6">
        <f>IFERROR(FIND("-",Prod[[#This Row],[Model Number]],2),"not found")</f>
        <v>5</v>
      </c>
    </row>
    <row r="7" spans="1:21" x14ac:dyDescent="0.25">
      <c r="A7" t="s">
        <v>73</v>
      </c>
      <c r="B7" t="s">
        <v>93</v>
      </c>
      <c r="C7" t="s">
        <v>6</v>
      </c>
      <c r="D7" t="s">
        <v>13</v>
      </c>
      <c r="E7" t="s">
        <v>22</v>
      </c>
      <c r="F7" t="s">
        <v>23</v>
      </c>
      <c r="H7" t="str">
        <f>LEFT(Prod[[#This Row],[Product Code]],4)</f>
        <v>ITEM</v>
      </c>
      <c r="I7" t="str">
        <f>RIGHT(Prod[[#This Row],[Product Code]],3)</f>
        <v>106</v>
      </c>
      <c r="J7" t="str">
        <f>MID(Prod[[#This Row],[Product Code]],5,1)</f>
        <v>-</v>
      </c>
      <c r="K7" t="str">
        <f t="shared" si="0"/>
        <v>ITEM 106</v>
      </c>
      <c r="L7">
        <f>IFERROR(FIND("-",Prod[[#This Row],[Model Number]],4), "Not Found")</f>
        <v>5</v>
      </c>
      <c r="M7" t="str">
        <f>IFERROR(FIND("w",Prod[[#This Row],[Product Name]]), "Not Found")</f>
        <v>Not Found</v>
      </c>
      <c r="N7">
        <f>IFERROR(SEARCH("-",Prod[[#This Row],[Model Number]],4), "Not Found")</f>
        <v>5</v>
      </c>
      <c r="O7" t="str">
        <f>IFERROR(SEARCH("w",Prod[[#This Row],[Product Name]]), "Not Found")</f>
        <v>Not Found</v>
      </c>
      <c r="P7" t="str">
        <f>REPLACE(Prod[[#This Row],[Product Code]], 5, 1, " - ")</f>
        <v>ITEM - 106</v>
      </c>
      <c r="Q7" t="str">
        <f>REPLACE(Prod[[#This Row],[Product Code]], 1,4, "Product")</f>
        <v>Product-106</v>
      </c>
      <c r="R7" t="str">
        <f>SUBSTITUTE(Prod[[#This Row],[Model Number]], "-", "_")</f>
        <v>Flip_6</v>
      </c>
      <c r="S7" t="str">
        <f>SUBSTITUTE(Prod[[#This Row],[Model Number]], "-", "_",2)</f>
        <v>Flip-6</v>
      </c>
      <c r="T7">
        <f>IFERROR(FIND("-",Prod[[#This Row],[Model Number]],2),"not found")</f>
        <v>5</v>
      </c>
    </row>
    <row r="8" spans="1:21" x14ac:dyDescent="0.25">
      <c r="A8" t="s">
        <v>74</v>
      </c>
      <c r="B8" t="s">
        <v>94</v>
      </c>
      <c r="C8" t="s">
        <v>6</v>
      </c>
      <c r="D8" t="s">
        <v>7</v>
      </c>
      <c r="E8" t="s">
        <v>24</v>
      </c>
      <c r="F8" t="s">
        <v>25</v>
      </c>
      <c r="H8" t="str">
        <f>LEFT(Prod[[#This Row],[Product Code]],4)</f>
        <v>ITEM</v>
      </c>
      <c r="I8" t="str">
        <f>RIGHT(Prod[[#This Row],[Product Code]],3)</f>
        <v>107</v>
      </c>
      <c r="J8" t="str">
        <f>MID(Prod[[#This Row],[Product Code]],5,1)</f>
        <v>-</v>
      </c>
      <c r="K8" t="str">
        <f t="shared" si="0"/>
        <v>ITEM 107</v>
      </c>
      <c r="L8" t="str">
        <f>IFERROR(FIND("-",Prod[[#This Row],[Model Number]],4), "Not Found")</f>
        <v>Not Found</v>
      </c>
      <c r="M8" t="str">
        <f>IFERROR(FIND("w",Prod[[#This Row],[Product Name]]), "Not Found")</f>
        <v>Not Found</v>
      </c>
      <c r="N8" t="str">
        <f>IFERROR(SEARCH("-",Prod[[#This Row],[Model Number]],4), "Not Found")</f>
        <v>Not Found</v>
      </c>
      <c r="O8" t="str">
        <f>IFERROR(SEARCH("w",Prod[[#This Row],[Product Name]]), "Not Found")</f>
        <v>Not Found</v>
      </c>
      <c r="P8" t="str">
        <f>REPLACE(Prod[[#This Row],[Product Code]], 5, 1, " - ")</f>
        <v>ITEM - 107</v>
      </c>
      <c r="Q8" t="str">
        <f>REPLACE(Prod[[#This Row],[Product Code]], 1,4, "Product")</f>
        <v>Product-107</v>
      </c>
      <c r="R8" t="str">
        <f>SUBSTITUTE(Prod[[#This Row],[Model Number]], "-", "_")</f>
        <v>C3_Stand</v>
      </c>
      <c r="S8" t="str">
        <f>SUBSTITUTE(Prod[[#This Row],[Model Number]], "-", "_",2)</f>
        <v>C3-Stand</v>
      </c>
      <c r="T8">
        <f>IFERROR(FIND("-",Prod[[#This Row],[Model Number]],2),"not found")</f>
        <v>3</v>
      </c>
    </row>
    <row r="9" spans="1:21" x14ac:dyDescent="0.25">
      <c r="A9" t="s">
        <v>75</v>
      </c>
      <c r="B9" t="s">
        <v>95</v>
      </c>
      <c r="C9" t="s">
        <v>6</v>
      </c>
      <c r="D9" t="s">
        <v>26</v>
      </c>
      <c r="E9" t="s">
        <v>8</v>
      </c>
      <c r="F9" t="s">
        <v>27</v>
      </c>
      <c r="H9" t="str">
        <f>LEFT(Prod[[#This Row],[Product Code]],4)</f>
        <v>ITEM</v>
      </c>
      <c r="I9" t="str">
        <f>RIGHT(Prod[[#This Row],[Product Code]],3)</f>
        <v>108</v>
      </c>
      <c r="J9" t="str">
        <f>MID(Prod[[#This Row],[Product Code]],5,1)</f>
        <v>-</v>
      </c>
      <c r="K9" t="str">
        <f t="shared" si="0"/>
        <v>ITEM 108</v>
      </c>
      <c r="L9" t="str">
        <f>IFERROR(FIND("-",Prod[[#This Row],[Model Number]],4), "Not Found")</f>
        <v>Not Found</v>
      </c>
      <c r="M9" t="str">
        <f>IFERROR(FIND("w",Prod[[#This Row],[Product Name]]), "Not Found")</f>
        <v>Not Found</v>
      </c>
      <c r="N9" t="str">
        <f>IFERROR(SEARCH("-",Prod[[#This Row],[Model Number]],4), "Not Found")</f>
        <v>Not Found</v>
      </c>
      <c r="O9">
        <f>IFERROR(SEARCH("w",Prod[[#This Row],[Product Name]]), "Not Found")</f>
        <v>1</v>
      </c>
      <c r="P9" t="str">
        <f>REPLACE(Prod[[#This Row],[Product Code]], 5, 1, " - ")</f>
        <v>ITEM - 108</v>
      </c>
      <c r="Q9" t="str">
        <f>REPLACE(Prod[[#This Row],[Product Code]], 1,4, "Product")</f>
        <v>Product-108</v>
      </c>
      <c r="R9" t="str">
        <f>SUBSTITUTE(Prod[[#This Row],[Model Number]], "-", "_")</f>
        <v>C920</v>
      </c>
      <c r="S9" t="str">
        <f>SUBSTITUTE(Prod[[#This Row],[Model Number]], "-", "_",2)</f>
        <v>C920</v>
      </c>
      <c r="T9" t="str">
        <f>IFERROR(FIND("-",Prod[[#This Row],[Model Number]],2),"not found")</f>
        <v>not found</v>
      </c>
    </row>
    <row r="10" spans="1:21" x14ac:dyDescent="0.25">
      <c r="A10" t="s">
        <v>76</v>
      </c>
      <c r="B10" t="s">
        <v>96</v>
      </c>
      <c r="C10" t="s">
        <v>6</v>
      </c>
      <c r="D10" t="s">
        <v>28</v>
      </c>
      <c r="E10" t="s">
        <v>29</v>
      </c>
      <c r="F10" t="s">
        <v>30</v>
      </c>
      <c r="H10" t="str">
        <f>LEFT(Prod[[#This Row],[Product Code]],4)</f>
        <v>ITEM</v>
      </c>
      <c r="I10" t="str">
        <f>RIGHT(Prod[[#This Row],[Product Code]],3)</f>
        <v>109</v>
      </c>
      <c r="J10" t="str">
        <f>MID(Prod[[#This Row],[Product Code]],5,1)</f>
        <v>-</v>
      </c>
      <c r="K10" t="str">
        <f t="shared" si="0"/>
        <v>ITEM 109</v>
      </c>
      <c r="L10">
        <f>IFERROR(FIND("-",Prod[[#This Row],[Model Number]],4), "Not Found")</f>
        <v>8</v>
      </c>
      <c r="M10" t="str">
        <f>IFERROR(FIND("w",Prod[[#This Row],[Product Name]]), "Not Found")</f>
        <v>Not Found</v>
      </c>
      <c r="N10">
        <f>IFERROR(SEARCH("-",Prod[[#This Row],[Model Number]],4), "Not Found")</f>
        <v>8</v>
      </c>
      <c r="O10" t="str">
        <f>IFERROR(SEARCH("w",Prod[[#This Row],[Product Name]]), "Not Found")</f>
        <v>Not Found</v>
      </c>
      <c r="P10" t="str">
        <f>REPLACE(Prod[[#This Row],[Product Code]], 5, 1, " - ")</f>
        <v>ITEM - 109</v>
      </c>
      <c r="Q10" t="str">
        <f>REPLACE(Prod[[#This Row],[Product Code]], 1,4, "Product")</f>
        <v>Product-109</v>
      </c>
      <c r="R10" t="str">
        <f>SUBSTITUTE(Prod[[#This Row],[Model Number]], "-", "_")</f>
        <v>Extreme_64</v>
      </c>
      <c r="S10" t="str">
        <f>SUBSTITUTE(Prod[[#This Row],[Model Number]], "-", "_",2)</f>
        <v>Extreme-64</v>
      </c>
      <c r="T10">
        <f>IFERROR(FIND("-",Prod[[#This Row],[Model Number]],2),"not found")</f>
        <v>8</v>
      </c>
    </row>
    <row r="11" spans="1:21" x14ac:dyDescent="0.25">
      <c r="A11" t="s">
        <v>77</v>
      </c>
      <c r="B11" t="s">
        <v>97</v>
      </c>
      <c r="C11" t="s">
        <v>6</v>
      </c>
      <c r="D11" t="s">
        <v>31</v>
      </c>
      <c r="E11" t="s">
        <v>17</v>
      </c>
      <c r="F11" t="s">
        <v>32</v>
      </c>
      <c r="H11" t="str">
        <f>LEFT(Prod[[#This Row],[Product Code]],4)</f>
        <v>ITEM</v>
      </c>
      <c r="I11" t="str">
        <f>RIGHT(Prod[[#This Row],[Product Code]],3)</f>
        <v>110</v>
      </c>
      <c r="J11" t="str">
        <f>MID(Prod[[#This Row],[Product Code]],5,1)</f>
        <v>-</v>
      </c>
      <c r="K11" t="str">
        <f t="shared" si="0"/>
        <v>ITEM 110</v>
      </c>
      <c r="L11">
        <f>IFERROR(FIND("-",Prod[[#This Row],[Model Number]],4), "Not Found")</f>
        <v>5</v>
      </c>
      <c r="M11">
        <f>IFERROR(FIND("w",Prod[[#This Row],[Product Name]]), "Not Found")</f>
        <v>3</v>
      </c>
      <c r="N11">
        <f>IFERROR(SEARCH("-",Prod[[#This Row],[Model Number]],4), "Not Found")</f>
        <v>5</v>
      </c>
      <c r="O11">
        <f>IFERROR(SEARCH("w",Prod[[#This Row],[Product Name]]), "Not Found")</f>
        <v>3</v>
      </c>
      <c r="P11" t="str">
        <f>REPLACE(Prod[[#This Row],[Product Code]], 5, 1, " - ")</f>
        <v>ITEM - 110</v>
      </c>
      <c r="Q11" t="str">
        <f>REPLACE(Prod[[#This Row],[Product Code]], 1,4, "Product")</f>
        <v>Product-110</v>
      </c>
      <c r="R11" t="str">
        <f>SUBSTITUTE(Prod[[#This Row],[Model Number]], "-", "_")</f>
        <v>Core_10k</v>
      </c>
      <c r="S11" t="str">
        <f>SUBSTITUTE(Prod[[#This Row],[Model Number]], "-", "_",2)</f>
        <v>Core-10k</v>
      </c>
      <c r="T11">
        <f>IFERROR(FIND("-",Prod[[#This Row],[Model Number]],2),"not found")</f>
        <v>5</v>
      </c>
    </row>
    <row r="12" spans="1:21" x14ac:dyDescent="0.25">
      <c r="A12" t="s">
        <v>78</v>
      </c>
      <c r="B12" t="s">
        <v>98</v>
      </c>
      <c r="C12" t="s">
        <v>6</v>
      </c>
      <c r="D12" t="s">
        <v>7</v>
      </c>
      <c r="E12" t="s">
        <v>33</v>
      </c>
      <c r="F12" t="s">
        <v>34</v>
      </c>
      <c r="H12" t="str">
        <f>LEFT(Prod[[#This Row],[Product Code]],4)</f>
        <v>ITEM</v>
      </c>
      <c r="I12" t="str">
        <f>RIGHT(Prod[[#This Row],[Product Code]],3)</f>
        <v>111</v>
      </c>
      <c r="J12" t="str">
        <f>MID(Prod[[#This Row],[Product Code]],5,1)</f>
        <v>-</v>
      </c>
      <c r="K12" t="str">
        <f t="shared" si="0"/>
        <v>ITEM 111</v>
      </c>
      <c r="L12">
        <f>IFERROR(FIND("-",Prod[[#This Row],[Model Number]],4), "Not Found")</f>
        <v>6</v>
      </c>
      <c r="M12" t="str">
        <f>IFERROR(FIND("w",Prod[[#This Row],[Product Name]]), "Not Found")</f>
        <v>Not Found</v>
      </c>
      <c r="N12">
        <f>IFERROR(SEARCH("-",Prod[[#This Row],[Model Number]],4), "Not Found")</f>
        <v>6</v>
      </c>
      <c r="O12" t="str">
        <f>IFERROR(SEARCH("w",Prod[[#This Row],[Product Name]]), "Not Found")</f>
        <v>Not Found</v>
      </c>
      <c r="P12" t="str">
        <f>REPLACE(Prod[[#This Row],[Product Code]], 5, 1, " - ")</f>
        <v>ITEM - 111</v>
      </c>
      <c r="Q12" t="str">
        <f>REPLACE(Prod[[#This Row],[Product Code]], 1,4, "Product")</f>
        <v>Product-111</v>
      </c>
      <c r="R12" t="str">
        <f>SUBSTITUTE(Prod[[#This Row],[Model Number]], "-", "_")</f>
        <v>Tough_Armor</v>
      </c>
      <c r="S12" t="str">
        <f>SUBSTITUTE(Prod[[#This Row],[Model Number]], "-", "_",2)</f>
        <v>Tough-Armor</v>
      </c>
      <c r="T12">
        <f>IFERROR(FIND("-",Prod[[#This Row],[Model Number]],2),"not found")</f>
        <v>6</v>
      </c>
    </row>
    <row r="13" spans="1:21" x14ac:dyDescent="0.25">
      <c r="A13" t="s">
        <v>79</v>
      </c>
      <c r="B13" t="s">
        <v>99</v>
      </c>
      <c r="C13" t="s">
        <v>35</v>
      </c>
      <c r="D13" t="s">
        <v>36</v>
      </c>
      <c r="E13" t="s">
        <v>37</v>
      </c>
      <c r="F13" t="s">
        <v>38</v>
      </c>
      <c r="H13" t="str">
        <f>LEFT(Prod[[#This Row],[Product Code]],4)</f>
        <v>ITEM</v>
      </c>
      <c r="I13" t="str">
        <f>RIGHT(Prod[[#This Row],[Product Code]],3)</f>
        <v>112</v>
      </c>
      <c r="J13" t="str">
        <f>MID(Prod[[#This Row],[Product Code]],5,1)</f>
        <v>-</v>
      </c>
      <c r="K13" t="str">
        <f t="shared" si="0"/>
        <v>ITEM 112</v>
      </c>
      <c r="L13">
        <f>IFERROR(FIND("-",Prod[[#This Row],[Model Number]],4), "Not Found")</f>
        <v>4</v>
      </c>
      <c r="M13" t="str">
        <f>IFERROR(FIND("w",Prod[[#This Row],[Product Name]]), "Not Found")</f>
        <v>Not Found</v>
      </c>
      <c r="N13">
        <f>IFERROR(SEARCH("-",Prod[[#This Row],[Model Number]],4), "Not Found")</f>
        <v>4</v>
      </c>
      <c r="O13" t="str">
        <f>IFERROR(SEARCH("w",Prod[[#This Row],[Product Name]]), "Not Found")</f>
        <v>Not Found</v>
      </c>
      <c r="P13" t="str">
        <f>REPLACE(Prod[[#This Row],[Product Code]], 5, 1, " - ")</f>
        <v>ITEM - 112</v>
      </c>
      <c r="Q13" t="str">
        <f>REPLACE(Prod[[#This Row],[Product Code]], 1,4, "Product")</f>
        <v>Product-112</v>
      </c>
      <c r="R13" t="str">
        <f>SUBSTITUTE(Prod[[#This Row],[Model Number]], "-", "_")</f>
        <v>Mat_Large</v>
      </c>
      <c r="S13" t="str">
        <f>SUBSTITUTE(Prod[[#This Row],[Model Number]], "-", "_",2)</f>
        <v>Mat-Large</v>
      </c>
      <c r="T13">
        <f>IFERROR(FIND("-",Prod[[#This Row],[Model Number]],2),"not found")</f>
        <v>4</v>
      </c>
    </row>
    <row r="14" spans="1:21" x14ac:dyDescent="0.25">
      <c r="A14" t="s">
        <v>80</v>
      </c>
      <c r="B14" t="s">
        <v>100</v>
      </c>
      <c r="C14" t="s">
        <v>6</v>
      </c>
      <c r="D14" t="s">
        <v>39</v>
      </c>
      <c r="E14" t="s">
        <v>40</v>
      </c>
      <c r="F14" t="s">
        <v>41</v>
      </c>
      <c r="H14" t="str">
        <f>LEFT(Prod[[#This Row],[Product Code]],4)</f>
        <v>ITEM</v>
      </c>
      <c r="I14" t="str">
        <f>RIGHT(Prod[[#This Row],[Product Code]],3)</f>
        <v>113</v>
      </c>
      <c r="J14" t="str">
        <f>MID(Prod[[#This Row],[Product Code]],5,1)</f>
        <v>-</v>
      </c>
      <c r="K14" t="str">
        <f t="shared" si="0"/>
        <v>ITEM 113</v>
      </c>
      <c r="L14" t="str">
        <f>IFERROR(FIND("-",Prod[[#This Row],[Model Number]],4), "Not Found")</f>
        <v>Not Found</v>
      </c>
      <c r="M14" t="str">
        <f>IFERROR(FIND("w",Prod[[#This Row],[Product Name]]), "Not Found")</f>
        <v>Not Found</v>
      </c>
      <c r="N14" t="str">
        <f>IFERROR(SEARCH("-",Prod[[#This Row],[Model Number]],4), "Not Found")</f>
        <v>Not Found</v>
      </c>
      <c r="O14" t="str">
        <f>IFERROR(SEARCH("w",Prod[[#This Row],[Product Name]]), "Not Found")</f>
        <v>Not Found</v>
      </c>
      <c r="P14" t="str">
        <f>REPLACE(Prod[[#This Row],[Product Code]], 5, 1, " - ")</f>
        <v>ITEM - 113</v>
      </c>
      <c r="Q14" t="str">
        <f>REPLACE(Prod[[#This Row],[Product Code]], 1,4, "Product")</f>
        <v>Product-113</v>
      </c>
      <c r="R14" t="str">
        <f>SUBSTITUTE(Prod[[#This Row],[Model Number]], "-", "_")</f>
        <v>RL_10</v>
      </c>
      <c r="S14" t="str">
        <f>SUBSTITUTE(Prod[[#This Row],[Model Number]], "-", "_",2)</f>
        <v>RL-10</v>
      </c>
      <c r="T14">
        <f>IFERROR(FIND("-",Prod[[#This Row],[Model Number]],2),"not found")</f>
        <v>3</v>
      </c>
    </row>
    <row r="15" spans="1:21" x14ac:dyDescent="0.25">
      <c r="A15" t="s">
        <v>81</v>
      </c>
      <c r="B15" t="s">
        <v>101</v>
      </c>
      <c r="C15" t="s">
        <v>6</v>
      </c>
      <c r="D15" t="s">
        <v>16</v>
      </c>
      <c r="E15" t="s">
        <v>42</v>
      </c>
      <c r="F15" t="s">
        <v>43</v>
      </c>
      <c r="H15" t="str">
        <f>LEFT(Prod[[#This Row],[Product Code]],4)</f>
        <v>ITEM</v>
      </c>
      <c r="I15" t="str">
        <f>RIGHT(Prod[[#This Row],[Product Code]],3)</f>
        <v>114</v>
      </c>
      <c r="J15" t="str">
        <f>MID(Prod[[#This Row],[Product Code]],5,1)</f>
        <v>-</v>
      </c>
      <c r="K15" t="str">
        <f t="shared" si="0"/>
        <v>ITEM 114</v>
      </c>
      <c r="L15" t="str">
        <f>IFERROR(FIND("-",Prod[[#This Row],[Model Number]],4), "Not Found")</f>
        <v>Not Found</v>
      </c>
      <c r="M15" t="str">
        <f>IFERROR(FIND("w",Prod[[#This Row],[Product Name]]), "Not Found")</f>
        <v>Not Found</v>
      </c>
      <c r="N15" t="str">
        <f>IFERROR(SEARCH("-",Prod[[#This Row],[Model Number]],4), "Not Found")</f>
        <v>Not Found</v>
      </c>
      <c r="O15" t="str">
        <f>IFERROR(SEARCH("w",Prod[[#This Row],[Product Name]]), "Not Found")</f>
        <v>Not Found</v>
      </c>
      <c r="P15" t="str">
        <f>REPLACE(Prod[[#This Row],[Product Code]], 5, 1, " - ")</f>
        <v>ITEM - 114</v>
      </c>
      <c r="Q15" t="str">
        <f>REPLACE(Prod[[#This Row],[Product Code]], 1,4, "Product")</f>
        <v>Product-114</v>
      </c>
      <c r="R15" t="str">
        <f>SUBSTITUTE(Prod[[#This Row],[Model Number]], "-", "_")</f>
        <v>AVC002</v>
      </c>
      <c r="S15" t="str">
        <f>SUBSTITUTE(Prod[[#This Row],[Model Number]], "-", "_",2)</f>
        <v>AVC002</v>
      </c>
      <c r="T15" t="str">
        <f>IFERROR(FIND("-",Prod[[#This Row],[Model Number]],2),"not found")</f>
        <v>not found</v>
      </c>
    </row>
    <row r="16" spans="1:21" x14ac:dyDescent="0.25">
      <c r="A16" t="s">
        <v>82</v>
      </c>
      <c r="B16" t="s">
        <v>102</v>
      </c>
      <c r="C16" t="s">
        <v>6</v>
      </c>
      <c r="D16" t="s">
        <v>31</v>
      </c>
      <c r="E16" t="s">
        <v>44</v>
      </c>
      <c r="F16" t="s">
        <v>110</v>
      </c>
      <c r="H16" t="str">
        <f>LEFT(Prod[[#This Row],[Product Code]],4)</f>
        <v>ITEM</v>
      </c>
      <c r="I16" t="str">
        <f>RIGHT(Prod[[#This Row],[Product Code]],3)</f>
        <v>115</v>
      </c>
      <c r="J16" t="str">
        <f>MID(Prod[[#This Row],[Product Code]],5,1)</f>
        <v>-</v>
      </c>
      <c r="K16" t="str">
        <f t="shared" si="0"/>
        <v>ITEM 115</v>
      </c>
      <c r="L16">
        <f>IFERROR(FIND("-",Prod[[#This Row],[Model Number]],4), "Not Found")</f>
        <v>6</v>
      </c>
      <c r="M16" t="str">
        <f>IFERROR(FIND("w",Prod[[#This Row],[Product Name]]), "Not Found")</f>
        <v>Not Found</v>
      </c>
      <c r="N16">
        <f>IFERROR(SEARCH("-",Prod[[#This Row],[Model Number]],4), "Not Found")</f>
        <v>6</v>
      </c>
      <c r="O16" t="str">
        <f>IFERROR(SEARCH("w",Prod[[#This Row],[Product Name]]), "Not Found")</f>
        <v>Not Found</v>
      </c>
      <c r="P16" t="str">
        <f>REPLACE(Prod[[#This Row],[Product Code]], 5, 1, " - ")</f>
        <v>ITEM - 115</v>
      </c>
      <c r="Q16" t="str">
        <f>REPLACE(Prod[[#This Row],[Product Code]], 1,4, "Product")</f>
        <v>Product-115</v>
      </c>
      <c r="R16" t="str">
        <f>SUBSTITUTE(Prod[[#This Row],[Model Number]], "-", "_")</f>
        <v>Nomad_10_2</v>
      </c>
      <c r="S16" t="str">
        <f>SUBSTITUTE(Prod[[#This Row],[Model Number]], "-", "_",2)</f>
        <v>Nomad-10_2</v>
      </c>
      <c r="T16">
        <f>IFERROR(FIND("-",Prod[[#This Row],[Model Number]],2),"not found")</f>
        <v>6</v>
      </c>
    </row>
    <row r="17" spans="1:20" x14ac:dyDescent="0.25">
      <c r="A17" t="s">
        <v>83</v>
      </c>
      <c r="B17" t="s">
        <v>103</v>
      </c>
      <c r="C17" t="s">
        <v>6</v>
      </c>
      <c r="D17" t="s">
        <v>19</v>
      </c>
      <c r="E17" t="s">
        <v>46</v>
      </c>
      <c r="F17" t="s">
        <v>109</v>
      </c>
      <c r="H17" t="str">
        <f>LEFT(Prod[[#This Row],[Product Code]],4)</f>
        <v>ITEM</v>
      </c>
      <c r="I17" t="str">
        <f>RIGHT(Prod[[#This Row],[Product Code]],3)</f>
        <v>116</v>
      </c>
      <c r="J17" t="str">
        <f>MID(Prod[[#This Row],[Product Code]],5,1)</f>
        <v>-</v>
      </c>
      <c r="K17" t="str">
        <f t="shared" si="0"/>
        <v>ITEM 116</v>
      </c>
      <c r="L17">
        <f>IFERROR(FIND("-",Prod[[#This Row],[Model Number]],4), "Not Found")</f>
        <v>8</v>
      </c>
      <c r="M17" t="str">
        <f>IFERROR(FIND("w",Prod[[#This Row],[Product Name]]), "Not Found")</f>
        <v>Not Found</v>
      </c>
      <c r="N17">
        <f>IFERROR(SEARCH("-",Prod[[#This Row],[Model Number]],4), "Not Found")</f>
        <v>8</v>
      </c>
      <c r="O17" t="str">
        <f>IFERROR(SEARCH("w",Prod[[#This Row],[Product Name]]), "Not Found")</f>
        <v>Not Found</v>
      </c>
      <c r="P17" t="str">
        <f>REPLACE(Prod[[#This Row],[Product Code]], 5, 1, " - ")</f>
        <v>ITEM - 116</v>
      </c>
      <c r="Q17" t="str">
        <f>REPLACE(Prod[[#This Row],[Product Code]], 1,4, "Product")</f>
        <v>Product-116</v>
      </c>
      <c r="R17" t="str">
        <f>SUBSTITUTE(Prod[[#This Row],[Model Number]], "-", "_")</f>
        <v>Inspire_3_1</v>
      </c>
      <c r="S17" t="str">
        <f>SUBSTITUTE(Prod[[#This Row],[Model Number]], "-", "_",2)</f>
        <v>Inspire-3_1</v>
      </c>
      <c r="T17">
        <f>IFERROR(FIND("-",Prod[[#This Row],[Model Number]],2),"not found")</f>
        <v>8</v>
      </c>
    </row>
    <row r="18" spans="1:20" x14ac:dyDescent="0.25">
      <c r="A18" t="s">
        <v>84</v>
      </c>
      <c r="B18" t="s">
        <v>104</v>
      </c>
      <c r="C18" t="s">
        <v>6</v>
      </c>
      <c r="D18" t="s">
        <v>13</v>
      </c>
      <c r="E18" t="s">
        <v>48</v>
      </c>
      <c r="F18" t="s">
        <v>49</v>
      </c>
      <c r="H18" t="str">
        <f>LEFT(Prod[[#This Row],[Product Code]],4)</f>
        <v>ITEM</v>
      </c>
      <c r="I18" t="str">
        <f>RIGHT(Prod[[#This Row],[Product Code]],3)</f>
        <v>117</v>
      </c>
      <c r="J18" t="str">
        <f>MID(Prod[[#This Row],[Product Code]],5,1)</f>
        <v>-</v>
      </c>
      <c r="K18" t="str">
        <f t="shared" si="0"/>
        <v>ITEM 117</v>
      </c>
      <c r="L18">
        <f>IFERROR(FIND("-",Prod[[#This Row],[Model Number]],4), "Not Found")</f>
        <v>6</v>
      </c>
      <c r="M18" t="str">
        <f>IFERROR(FIND("w",Prod[[#This Row],[Product Name]]), "Not Found")</f>
        <v>Not Found</v>
      </c>
      <c r="N18">
        <f>IFERROR(SEARCH("-",Prod[[#This Row],[Model Number]],4), "Not Found")</f>
        <v>6</v>
      </c>
      <c r="O18" t="str">
        <f>IFERROR(SEARCH("w",Prod[[#This Row],[Product Name]]), "Not Found")</f>
        <v>Not Found</v>
      </c>
      <c r="P18" t="str">
        <f>REPLACE(Prod[[#This Row],[Product Code]], 5, 1, " - ")</f>
        <v>ITEM - 117</v>
      </c>
      <c r="Q18" t="str">
        <f>REPLACE(Prod[[#This Row],[Product Code]], 1,4, "Product")</f>
        <v>Product-117</v>
      </c>
      <c r="R18" t="str">
        <f>SUBSTITUTE(Prod[[#This Row],[Model Number]], "-", "_")</f>
        <v>Quiet_2</v>
      </c>
      <c r="S18" t="str">
        <f>SUBSTITUTE(Prod[[#This Row],[Model Number]], "-", "_",2)</f>
        <v>Quiet-2</v>
      </c>
      <c r="T18">
        <f>IFERROR(FIND("-",Prod[[#This Row],[Model Number]],2),"not found")</f>
        <v>6</v>
      </c>
    </row>
    <row r="19" spans="1:20" x14ac:dyDescent="0.25">
      <c r="A19" t="s">
        <v>85</v>
      </c>
      <c r="B19" t="s">
        <v>105</v>
      </c>
      <c r="C19" t="s">
        <v>6</v>
      </c>
      <c r="D19" t="s">
        <v>50</v>
      </c>
      <c r="E19" t="s">
        <v>51</v>
      </c>
      <c r="F19" t="s">
        <v>52</v>
      </c>
      <c r="H19" t="str">
        <f>LEFT(Prod[[#This Row],[Product Code]],4)</f>
        <v>ITEM</v>
      </c>
      <c r="I19" t="str">
        <f>RIGHT(Prod[[#This Row],[Product Code]],3)</f>
        <v>118</v>
      </c>
      <c r="J19" t="str">
        <f>MID(Prod[[#This Row],[Product Code]],5,1)</f>
        <v>-</v>
      </c>
      <c r="K19" t="str">
        <f t="shared" si="0"/>
        <v>ITEM 118</v>
      </c>
      <c r="L19" t="str">
        <f>IFERROR(FIND("-",Prod[[#This Row],[Model Number]],4), "Not Found")</f>
        <v>Not Found</v>
      </c>
      <c r="M19" t="str">
        <f>IFERROR(FIND("w",Prod[[#This Row],[Product Name]]), "Not Found")</f>
        <v>Not Found</v>
      </c>
      <c r="N19" t="str">
        <f>IFERROR(SEARCH("-",Prod[[#This Row],[Model Number]],4), "Not Found")</f>
        <v>Not Found</v>
      </c>
      <c r="O19">
        <f>IFERROR(SEARCH("w",Prod[[#This Row],[Product Name]]), "Not Found")</f>
        <v>1</v>
      </c>
      <c r="P19" t="str">
        <f>REPLACE(Prod[[#This Row],[Product Code]], 5, 1, " - ")</f>
        <v>ITEM - 118</v>
      </c>
      <c r="Q19" t="str">
        <f>REPLACE(Prod[[#This Row],[Product Code]], 1,4, "Product")</f>
        <v>Product-118</v>
      </c>
      <c r="R19" t="str">
        <f>SUBSTITUTE(Prod[[#This Row],[Model Number]], "-", "_")</f>
        <v>AX3000</v>
      </c>
      <c r="S19" t="str">
        <f>SUBSTITUTE(Prod[[#This Row],[Model Number]], "-", "_",2)</f>
        <v>AX3000</v>
      </c>
      <c r="T19" t="str">
        <f>IFERROR(FIND("-",Prod[[#This Row],[Model Number]],2),"not found")</f>
        <v>not found</v>
      </c>
    </row>
    <row r="20" spans="1:20" x14ac:dyDescent="0.25">
      <c r="A20" t="s">
        <v>86</v>
      </c>
      <c r="B20" t="s">
        <v>106</v>
      </c>
      <c r="C20" t="s">
        <v>35</v>
      </c>
      <c r="D20" t="s">
        <v>53</v>
      </c>
      <c r="E20" t="s">
        <v>54</v>
      </c>
      <c r="F20" t="s">
        <v>55</v>
      </c>
      <c r="H20" t="str">
        <f>LEFT(Prod[[#This Row],[Product Code]],4)</f>
        <v>ITEM</v>
      </c>
      <c r="I20" t="str">
        <f>RIGHT(Prod[[#This Row],[Product Code]],3)</f>
        <v>119</v>
      </c>
      <c r="J20" t="str">
        <f>MID(Prod[[#This Row],[Product Code]],5,1)</f>
        <v>-</v>
      </c>
      <c r="K20" t="str">
        <f t="shared" si="0"/>
        <v>ITEM 119</v>
      </c>
      <c r="L20" t="str">
        <f>IFERROR(FIND("-",Prod[[#This Row],[Model Number]],4), "Not Found")</f>
        <v>Not Found</v>
      </c>
      <c r="M20" t="str">
        <f>IFERROR(FIND("w",Prod[[#This Row],[Product Name]]), "Not Found")</f>
        <v>Not Found</v>
      </c>
      <c r="N20" t="str">
        <f>IFERROR(SEARCH("-",Prod[[#This Row],[Model Number]],4), "Not Found")</f>
        <v>Not Found</v>
      </c>
      <c r="O20" t="str">
        <f>IFERROR(SEARCH("w",Prod[[#This Row],[Product Name]]), "Not Found")</f>
        <v>Not Found</v>
      </c>
      <c r="P20" t="str">
        <f>REPLACE(Prod[[#This Row],[Product Code]], 5, 1, " - ")</f>
        <v>ITEM - 119</v>
      </c>
      <c r="Q20" t="str">
        <f>REPLACE(Prod[[#This Row],[Product Code]], 1,4, "Product")</f>
        <v>Product-119</v>
      </c>
      <c r="R20" t="str">
        <f>SUBSTITUTE(Prod[[#This Row],[Model Number]], "-", "_")</f>
        <v>TM_T20</v>
      </c>
      <c r="S20" t="str">
        <f>SUBSTITUTE(Prod[[#This Row],[Model Number]], "-", "_",2)</f>
        <v>TM-T20</v>
      </c>
      <c r="T20">
        <f>IFERROR(FIND("-",Prod[[#This Row],[Model Number]],2),"not found")</f>
        <v>3</v>
      </c>
    </row>
    <row r="21" spans="1:20" x14ac:dyDescent="0.25">
      <c r="A21" t="s">
        <v>87</v>
      </c>
      <c r="B21" t="s">
        <v>107</v>
      </c>
      <c r="C21" t="s">
        <v>6</v>
      </c>
      <c r="D21" t="s">
        <v>26</v>
      </c>
      <c r="E21" t="s">
        <v>56</v>
      </c>
      <c r="F21" t="s">
        <v>57</v>
      </c>
      <c r="H21" t="str">
        <f>LEFT(Prod[[#This Row],[Product Code]],4)</f>
        <v>ITEM</v>
      </c>
      <c r="I21" t="str">
        <f>RIGHT(Prod[[#This Row],[Product Code]],3)</f>
        <v>120</v>
      </c>
      <c r="J21" t="str">
        <f>MID(Prod[[#This Row],[Product Code]],5,1)</f>
        <v>-</v>
      </c>
      <c r="K21" t="str">
        <f t="shared" si="0"/>
        <v>ITEM 120</v>
      </c>
      <c r="L21">
        <f>IFERROR(FIND("-",Prod[[#This Row],[Model Number]],4), "Not Found")</f>
        <v>5</v>
      </c>
      <c r="M21" t="str">
        <f>IFERROR(FIND("w",Prod[[#This Row],[Product Name]]), "Not Found")</f>
        <v>Not Found</v>
      </c>
      <c r="N21">
        <f>IFERROR(SEARCH("-",Prod[[#This Row],[Model Number]],4), "Not Found")</f>
        <v>5</v>
      </c>
      <c r="O21" t="str">
        <f>IFERROR(SEARCH("w",Prod[[#This Row],[Product Name]]), "Not Found")</f>
        <v>Not Found</v>
      </c>
      <c r="P21" t="str">
        <f>REPLACE(Prod[[#This Row],[Product Code]], 5, 1, " - ")</f>
        <v>ITEM - 120</v>
      </c>
      <c r="Q21" t="str">
        <f>REPLACE(Prod[[#This Row],[Product Code]], 1,4, "Product")</f>
        <v>Product-120</v>
      </c>
      <c r="R21" t="str">
        <f>SUBSTITUTE(Prod[[#This Row],[Model Number]], "-", "_")</f>
        <v>Hero_12</v>
      </c>
      <c r="S21" t="str">
        <f>SUBSTITUTE(Prod[[#This Row],[Model Number]], "-", "_",2)</f>
        <v>Hero-12</v>
      </c>
    </row>
    <row r="24" spans="1:20" x14ac:dyDescent="0.25">
      <c r="H24" t="s">
        <v>89</v>
      </c>
      <c r="I24">
        <f>IFERROR(SEARCH("a? k",H24),"Not Found")</f>
        <v>9</v>
      </c>
      <c r="J24">
        <f>IFERROR(SEARCH("e*a",H24),"Not Found")</f>
        <v>2</v>
      </c>
      <c r="K24" t="str">
        <f>IFERROR(SEARCH("~*",H24), "Not Found")</f>
        <v>Not Found</v>
      </c>
      <c r="L24" t="str">
        <f>IFERROR(SEARCH("~?",H24), "Not Found")</f>
        <v>Not Found</v>
      </c>
      <c r="M24" t="str">
        <f>IFERROR(SEARCH("~~",H24), "Not Found")</f>
        <v>Not Found</v>
      </c>
      <c r="N24" t="str">
        <f>IFERROR(SEARCH("~~",H24,12), "Not Found")</f>
        <v>Not Found</v>
      </c>
    </row>
    <row r="25" spans="1:20" x14ac:dyDescent="0.25">
      <c r="H25" t="s">
        <v>117</v>
      </c>
      <c r="I25" t="str">
        <f t="shared" ref="I25:I28" si="1">IFERROR(SEARCH("a? k",H25),"Not Found")</f>
        <v>Not Found</v>
      </c>
      <c r="J25">
        <f t="shared" ref="J25:J28" si="2">IFERROR(SEARCH("e*a",H25),"Not Found")</f>
        <v>10</v>
      </c>
      <c r="K25">
        <f t="shared" ref="K25:K28" si="3">IFERROR(SEARCH("~*",H25), "Not Found")</f>
        <v>8</v>
      </c>
      <c r="L25" t="str">
        <f t="shared" ref="L25:L28" si="4">IFERROR(SEARCH("~?",H25), "Not Found")</f>
        <v>Not Found</v>
      </c>
      <c r="M25" t="str">
        <f t="shared" ref="M25:M28" si="5">IFERROR(SEARCH("~~",H25), "Not Found")</f>
        <v>Not Found</v>
      </c>
      <c r="N25" t="str">
        <f t="shared" ref="N25:N28" si="6">IFERROR(SEARCH("~~",H25,12), "Not Found")</f>
        <v>Not Found</v>
      </c>
    </row>
    <row r="26" spans="1:20" x14ac:dyDescent="0.25">
      <c r="H26" t="s">
        <v>118</v>
      </c>
      <c r="I26" t="str">
        <f t="shared" si="1"/>
        <v>Not Found</v>
      </c>
      <c r="J26" t="str">
        <f t="shared" si="2"/>
        <v>Not Found</v>
      </c>
      <c r="K26" t="str">
        <f t="shared" si="3"/>
        <v>Not Found</v>
      </c>
      <c r="L26">
        <f t="shared" si="4"/>
        <v>5</v>
      </c>
      <c r="M26" t="str">
        <f t="shared" si="5"/>
        <v>Not Found</v>
      </c>
      <c r="N26" t="str">
        <f t="shared" si="6"/>
        <v>Not Found</v>
      </c>
    </row>
    <row r="27" spans="1:20" x14ac:dyDescent="0.25">
      <c r="H27" t="s">
        <v>119</v>
      </c>
      <c r="I27" t="str">
        <f t="shared" si="1"/>
        <v>Not Found</v>
      </c>
      <c r="J27" t="str">
        <f t="shared" si="2"/>
        <v>Not Found</v>
      </c>
      <c r="K27" t="str">
        <f t="shared" si="3"/>
        <v>Not Found</v>
      </c>
      <c r="L27" t="str">
        <f t="shared" si="4"/>
        <v>Not Found</v>
      </c>
      <c r="M27">
        <f t="shared" si="5"/>
        <v>7</v>
      </c>
      <c r="N27" t="str">
        <f t="shared" si="6"/>
        <v>Not Found</v>
      </c>
    </row>
    <row r="28" spans="1:20" x14ac:dyDescent="0.25">
      <c r="H28" t="s">
        <v>120</v>
      </c>
      <c r="I28" t="str">
        <f t="shared" si="1"/>
        <v>Not Found</v>
      </c>
      <c r="J28">
        <f t="shared" si="2"/>
        <v>4</v>
      </c>
      <c r="K28" t="str">
        <f t="shared" si="3"/>
        <v>Not Found</v>
      </c>
      <c r="L28" t="str">
        <f t="shared" si="4"/>
        <v>Not Found</v>
      </c>
      <c r="M28">
        <f t="shared" si="5"/>
        <v>11</v>
      </c>
      <c r="N28">
        <f t="shared" si="6"/>
        <v>12</v>
      </c>
    </row>
  </sheetData>
  <mergeCells count="4">
    <mergeCell ref="L1:M1"/>
    <mergeCell ref="N1:O1"/>
    <mergeCell ref="P1:Q1"/>
    <mergeCell ref="R1:S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BE973-EF63-4C4E-B1BF-1116BE418C6B}">
  <dimension ref="A1:I21"/>
  <sheetViews>
    <sheetView workbookViewId="0">
      <selection activeCell="I10" sqref="I10"/>
    </sheetView>
  </sheetViews>
  <sheetFormatPr defaultRowHeight="15" x14ac:dyDescent="0.25"/>
  <cols>
    <col min="1" max="1" width="15.140625" bestFit="1" customWidth="1"/>
    <col min="2" max="2" width="20.140625" bestFit="1" customWidth="1"/>
    <col min="3" max="3" width="11.140625" bestFit="1" customWidth="1"/>
    <col min="4" max="4" width="14.140625" bestFit="1" customWidth="1"/>
    <col min="5" max="5" width="9.28515625" bestFit="1" customWidth="1"/>
    <col min="6" max="6" width="17" bestFit="1" customWidth="1"/>
    <col min="8" max="9" width="37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3" t="s">
        <v>123</v>
      </c>
      <c r="I1" s="3"/>
    </row>
    <row r="2" spans="1:9" x14ac:dyDescent="0.25">
      <c r="A2" t="s">
        <v>68</v>
      </c>
      <c r="B2" t="s">
        <v>88</v>
      </c>
      <c r="C2" t="s">
        <v>6</v>
      </c>
      <c r="E2" t="s">
        <v>8</v>
      </c>
      <c r="F2" t="s">
        <v>9</v>
      </c>
      <c r="H2" t="str">
        <f>_xlfn.TEXTJOIN("-",FALSE,Prodct[[#This Row],[Category]],Prodct[[#This Row],[Subcategory]],Prodct[[#This Row],[Brand]],Prodct[[#This Row],[Model Number]])</f>
        <v>Electronics--Logitech-M330</v>
      </c>
      <c r="I2" t="str">
        <f>_xlfn.TEXTJOIN("-",TRUE,Prodct[[#This Row],[Category]],Prodct[[#This Row],[Subcategory]],Prodct[[#This Row],[Brand]],Prodct[[#This Row],[Model Number]])</f>
        <v>Electronics-Logitech-M330</v>
      </c>
    </row>
    <row r="3" spans="1:9" x14ac:dyDescent="0.25">
      <c r="A3" t="s">
        <v>69</v>
      </c>
      <c r="B3" t="s">
        <v>89</v>
      </c>
      <c r="C3" t="s">
        <v>6</v>
      </c>
      <c r="D3" t="s">
        <v>10</v>
      </c>
      <c r="F3" t="s">
        <v>108</v>
      </c>
      <c r="H3" t="str">
        <f>_xlfn.TEXTJOIN("-",FALSE,Prodct[[#This Row],[Category]],Prodct[[#This Row],[Subcategory]],Prodct[[#This Row],[Brand]],Prodct[[#This Row],[Model Number]])</f>
        <v>Electronics-Peripherals--K2-V2-3</v>
      </c>
      <c r="I3" t="str">
        <f>_xlfn.TEXTJOIN("-",TRUE,Prodct[[#This Row],[Category]],Prodct[[#This Row],[Subcategory]],Prodct[[#This Row],[Brand]],Prodct[[#This Row],[Model Number]])</f>
        <v>Electronics-Peripherals-K2-V2-3</v>
      </c>
    </row>
    <row r="4" spans="1:9" x14ac:dyDescent="0.25">
      <c r="A4" t="s">
        <v>70</v>
      </c>
      <c r="B4" t="s">
        <v>90</v>
      </c>
      <c r="C4" t="s">
        <v>6</v>
      </c>
      <c r="E4" t="s">
        <v>14</v>
      </c>
      <c r="F4" t="s">
        <v>15</v>
      </c>
      <c r="H4" t="str">
        <f>_xlfn.TEXTJOIN("-",FALSE,Prodct[[#This Row],[Category]],Prodct[[#This Row],[Subcategory]],Prodct[[#This Row],[Brand]],Prodct[[#This Row],[Model Number]])</f>
        <v>Electronics--Razer-RZ04</v>
      </c>
      <c r="I4" t="str">
        <f>_xlfn.TEXTJOIN("-",TRUE,Prodct[[#This Row],[Category]],Prodct[[#This Row],[Subcategory]],Prodct[[#This Row],[Brand]],Prodct[[#This Row],[Model Number]])</f>
        <v>Electronics-Razer-RZ04</v>
      </c>
    </row>
    <row r="5" spans="1:9" x14ac:dyDescent="0.25">
      <c r="A5" t="s">
        <v>71</v>
      </c>
      <c r="B5" t="s">
        <v>91</v>
      </c>
      <c r="C5" t="s">
        <v>6</v>
      </c>
      <c r="D5" t="s">
        <v>16</v>
      </c>
      <c r="E5" t="s">
        <v>17</v>
      </c>
      <c r="F5" t="s">
        <v>18</v>
      </c>
      <c r="H5" t="str">
        <f>_xlfn.TEXTJOIN("-",FALSE,Prodct[[#This Row],[Category]],Prodct[[#This Row],[Subcategory]],Prodct[[#This Row],[Brand]],Prodct[[#This Row],[Model Number]])</f>
        <v>Electronics-Cables-Anker-A8823</v>
      </c>
      <c r="I5" t="str">
        <f>_xlfn.TEXTJOIN("-",TRUE,Prodct[[#This Row],[Category]],Prodct[[#This Row],[Subcategory]],Prodct[[#This Row],[Brand]],Prodct[[#This Row],[Model Number]])</f>
        <v>Electronics-Cables-Anker-A8823</v>
      </c>
    </row>
    <row r="6" spans="1:9" x14ac:dyDescent="0.25">
      <c r="A6" t="s">
        <v>72</v>
      </c>
      <c r="B6" t="s">
        <v>92</v>
      </c>
      <c r="C6" t="s">
        <v>6</v>
      </c>
      <c r="E6" t="s">
        <v>20</v>
      </c>
      <c r="F6" t="s">
        <v>21</v>
      </c>
      <c r="H6" t="str">
        <f>_xlfn.TEXTJOIN("-",FALSE,Prodct[[#This Row],[Category]],Prodct[[#This Row],[Subcategory]],Prodct[[#This Row],[Brand]],Prodct[[#This Row],[Model Number]])</f>
        <v>Electronics--Garmin-Venu-2</v>
      </c>
      <c r="I6" t="str">
        <f>_xlfn.TEXTJOIN("-",TRUE,Prodct[[#This Row],[Category]],Prodct[[#This Row],[Subcategory]],Prodct[[#This Row],[Brand]],Prodct[[#This Row],[Model Number]])</f>
        <v>Electronics-Garmin-Venu-2</v>
      </c>
    </row>
    <row r="7" spans="1:9" x14ac:dyDescent="0.25">
      <c r="A7" t="s">
        <v>73</v>
      </c>
      <c r="B7" t="s">
        <v>93</v>
      </c>
      <c r="C7" t="s">
        <v>6</v>
      </c>
      <c r="D7" t="s">
        <v>13</v>
      </c>
      <c r="E7" t="s">
        <v>22</v>
      </c>
      <c r="F7" t="s">
        <v>23</v>
      </c>
      <c r="H7" t="str">
        <f>_xlfn.TEXTJOIN("-",FALSE,Prodct[[#This Row],[Category]],Prodct[[#This Row],[Subcategory]],Prodct[[#This Row],[Brand]],Prodct[[#This Row],[Model Number]])</f>
        <v>Electronics-Audio-JBL-Flip-6</v>
      </c>
      <c r="I7" t="str">
        <f>_xlfn.TEXTJOIN("-",TRUE,Prodct[[#This Row],[Category]],Prodct[[#This Row],[Subcategory]],Prodct[[#This Row],[Brand]],Prodct[[#This Row],[Model Number]])</f>
        <v>Electronics-Audio-JBL-Flip-6</v>
      </c>
    </row>
    <row r="8" spans="1:9" x14ac:dyDescent="0.25">
      <c r="A8" t="s">
        <v>74</v>
      </c>
      <c r="B8" t="s">
        <v>94</v>
      </c>
      <c r="C8" t="s">
        <v>6</v>
      </c>
      <c r="E8" t="s">
        <v>24</v>
      </c>
      <c r="F8" t="s">
        <v>25</v>
      </c>
      <c r="H8" t="str">
        <f>_xlfn.TEXTJOIN("-",FALSE,Prodct[[#This Row],[Category]],Prodct[[#This Row],[Subcategory]],Prodct[[#This Row],[Brand]],Prodct[[#This Row],[Model Number]])</f>
        <v>Electronics--Nulaxy-C3-Stand</v>
      </c>
      <c r="I8" t="str">
        <f>_xlfn.TEXTJOIN("-",TRUE,Prodct[[#This Row],[Category]],Prodct[[#This Row],[Subcategory]],Prodct[[#This Row],[Brand]],Prodct[[#This Row],[Model Number]])</f>
        <v>Electronics-Nulaxy-C3-Stand</v>
      </c>
    </row>
    <row r="9" spans="1:9" x14ac:dyDescent="0.25">
      <c r="A9" t="s">
        <v>75</v>
      </c>
      <c r="B9" t="s">
        <v>95</v>
      </c>
      <c r="C9" t="s">
        <v>6</v>
      </c>
      <c r="D9" t="s">
        <v>26</v>
      </c>
      <c r="F9" t="s">
        <v>27</v>
      </c>
      <c r="H9" t="str">
        <f>_xlfn.TEXTJOIN("-",FALSE,Prodct[[#This Row],[Category]],Prodct[[#This Row],[Subcategory]],Prodct[[#This Row],[Brand]],Prodct[[#This Row],[Model Number]])</f>
        <v>Electronics-Video--C920</v>
      </c>
      <c r="I9" t="str">
        <f>_xlfn.TEXTJOIN("-",TRUE,Prodct[[#This Row],[Category]],Prodct[[#This Row],[Subcategory]],Prodct[[#This Row],[Brand]],Prodct[[#This Row],[Model Number]])</f>
        <v>Electronics-Video-C920</v>
      </c>
    </row>
    <row r="10" spans="1:9" x14ac:dyDescent="0.25">
      <c r="A10" t="s">
        <v>76</v>
      </c>
      <c r="B10" t="s">
        <v>96</v>
      </c>
      <c r="C10" t="s">
        <v>6</v>
      </c>
      <c r="E10" t="s">
        <v>29</v>
      </c>
      <c r="F10" t="s">
        <v>30</v>
      </c>
      <c r="H10" t="str">
        <f>_xlfn.TEXTJOIN("-",FALSE,Prodct[[#This Row],[Category]],Prodct[[#This Row],[Subcategory]],Prodct[[#This Row],[Brand]],Prodct[[#This Row],[Model Number]])</f>
        <v>Electronics--SanDisk-Extreme-64</v>
      </c>
      <c r="I10" t="str">
        <f>_xlfn.TEXTJOIN("-",TRUE,Prodct[[#This Row],[Category]],Prodct[[#This Row],[Subcategory]],Prodct[[#This Row],[Brand]],Prodct[[#This Row],[Model Number]])</f>
        <v>Electronics-SanDisk-Extreme-64</v>
      </c>
    </row>
    <row r="11" spans="1:9" x14ac:dyDescent="0.25">
      <c r="A11" t="s">
        <v>77</v>
      </c>
      <c r="B11" t="s">
        <v>97</v>
      </c>
      <c r="C11" t="s">
        <v>6</v>
      </c>
      <c r="D11" t="s">
        <v>31</v>
      </c>
      <c r="E11" t="s">
        <v>17</v>
      </c>
      <c r="F11" t="s">
        <v>32</v>
      </c>
      <c r="H11" t="str">
        <f>_xlfn.TEXTJOIN("-",FALSE,Prodct[[#This Row],[Category]],Prodct[[#This Row],[Subcategory]],Prodct[[#This Row],[Brand]],Prodct[[#This Row],[Model Number]])</f>
        <v>Electronics-Power-Anker-Core-10k</v>
      </c>
      <c r="I11" t="str">
        <f>_xlfn.TEXTJOIN("-",TRUE,Prodct[[#This Row],[Category]],Prodct[[#This Row],[Subcategory]],Prodct[[#This Row],[Brand]],Prodct[[#This Row],[Model Number]])</f>
        <v>Electronics-Power-Anker-Core-10k</v>
      </c>
    </row>
    <row r="12" spans="1:9" x14ac:dyDescent="0.25">
      <c r="A12" t="s">
        <v>78</v>
      </c>
      <c r="B12" t="s">
        <v>98</v>
      </c>
      <c r="C12" t="s">
        <v>6</v>
      </c>
      <c r="E12" t="s">
        <v>33</v>
      </c>
      <c r="F12" t="s">
        <v>34</v>
      </c>
      <c r="H12" t="str">
        <f>_xlfn.TEXTJOIN("-",FALSE,Prodct[[#This Row],[Category]],Prodct[[#This Row],[Subcategory]],Prodct[[#This Row],[Brand]],Prodct[[#This Row],[Model Number]])</f>
        <v>Electronics--Spigen-Tough-Armor</v>
      </c>
      <c r="I12" t="str">
        <f>_xlfn.TEXTJOIN("-",TRUE,Prodct[[#This Row],[Category]],Prodct[[#This Row],[Subcategory]],Prodct[[#This Row],[Brand]],Prodct[[#This Row],[Model Number]])</f>
        <v>Electronics-Spigen-Tough-Armor</v>
      </c>
    </row>
    <row r="13" spans="1:9" x14ac:dyDescent="0.25">
      <c r="A13" t="s">
        <v>79</v>
      </c>
      <c r="B13" t="s">
        <v>99</v>
      </c>
      <c r="C13" t="s">
        <v>35</v>
      </c>
      <c r="D13" t="s">
        <v>36</v>
      </c>
      <c r="F13" t="s">
        <v>38</v>
      </c>
      <c r="H13" t="str">
        <f>_xlfn.TEXTJOIN("-",FALSE,Prodct[[#This Row],[Category]],Prodct[[#This Row],[Subcategory]],Prodct[[#This Row],[Brand]],Prodct[[#This Row],[Model Number]])</f>
        <v>Office-Furniture--Mat-Large</v>
      </c>
      <c r="I13" t="str">
        <f>_xlfn.TEXTJOIN("-",TRUE,Prodct[[#This Row],[Category]],Prodct[[#This Row],[Subcategory]],Prodct[[#This Row],[Brand]],Prodct[[#This Row],[Model Number]])</f>
        <v>Office-Furniture-Mat-Large</v>
      </c>
    </row>
    <row r="14" spans="1:9" x14ac:dyDescent="0.25">
      <c r="A14" t="s">
        <v>80</v>
      </c>
      <c r="B14" t="s">
        <v>100</v>
      </c>
      <c r="C14" t="s">
        <v>6</v>
      </c>
      <c r="E14" t="s">
        <v>40</v>
      </c>
      <c r="F14" t="s">
        <v>41</v>
      </c>
      <c r="H14" t="str">
        <f>_xlfn.TEXTJOIN("-",FALSE,Prodct[[#This Row],[Category]],Prodct[[#This Row],[Subcategory]],Prodct[[#This Row],[Brand]],Prodct[[#This Row],[Model Number]])</f>
        <v>Electronics--Neewer-RL-10</v>
      </c>
      <c r="I14" t="str">
        <f>_xlfn.TEXTJOIN("-",TRUE,Prodct[[#This Row],[Category]],Prodct[[#This Row],[Subcategory]],Prodct[[#This Row],[Brand]],Prodct[[#This Row],[Model Number]])</f>
        <v>Electronics-Neewer-RL-10</v>
      </c>
    </row>
    <row r="15" spans="1:9" x14ac:dyDescent="0.25">
      <c r="A15" t="s">
        <v>81</v>
      </c>
      <c r="B15" t="s">
        <v>101</v>
      </c>
      <c r="C15" t="s">
        <v>6</v>
      </c>
      <c r="D15" t="s">
        <v>16</v>
      </c>
      <c r="E15" t="s">
        <v>42</v>
      </c>
      <c r="F15" t="s">
        <v>43</v>
      </c>
      <c r="H15" t="str">
        <f>_xlfn.TEXTJOIN("-",FALSE,Prodct[[#This Row],[Category]],Prodct[[#This Row],[Subcategory]],Prodct[[#This Row],[Brand]],Prodct[[#This Row],[Model Number]])</f>
        <v>Electronics-Cables-Belkin-AVC002</v>
      </c>
      <c r="I15" t="str">
        <f>_xlfn.TEXTJOIN("-",TRUE,Prodct[[#This Row],[Category]],Prodct[[#This Row],[Subcategory]],Prodct[[#This Row],[Brand]],Prodct[[#This Row],[Model Number]])</f>
        <v>Electronics-Cables-Belkin-AVC002</v>
      </c>
    </row>
    <row r="16" spans="1:9" x14ac:dyDescent="0.25">
      <c r="A16" t="s">
        <v>82</v>
      </c>
      <c r="B16" t="s">
        <v>102</v>
      </c>
      <c r="C16" t="s">
        <v>6</v>
      </c>
      <c r="E16" t="s">
        <v>44</v>
      </c>
      <c r="F16" t="s">
        <v>110</v>
      </c>
      <c r="H16" t="str">
        <f>_xlfn.TEXTJOIN("-",FALSE,Prodct[[#This Row],[Category]],Prodct[[#This Row],[Subcategory]],Prodct[[#This Row],[Brand]],Prodct[[#This Row],[Model Number]])</f>
        <v>Electronics--GoalZero-Nomad-10-2</v>
      </c>
      <c r="I16" t="str">
        <f>_xlfn.TEXTJOIN("-",TRUE,Prodct[[#This Row],[Category]],Prodct[[#This Row],[Subcategory]],Prodct[[#This Row],[Brand]],Prodct[[#This Row],[Model Number]])</f>
        <v>Electronics-GoalZero-Nomad-10-2</v>
      </c>
    </row>
    <row r="17" spans="1:9" x14ac:dyDescent="0.25">
      <c r="A17" t="s">
        <v>83</v>
      </c>
      <c r="B17" t="s">
        <v>103</v>
      </c>
      <c r="C17" t="s">
        <v>6</v>
      </c>
      <c r="D17" t="s">
        <v>19</v>
      </c>
      <c r="E17" t="s">
        <v>46</v>
      </c>
      <c r="F17" t="s">
        <v>109</v>
      </c>
      <c r="H17" t="str">
        <f>_xlfn.TEXTJOIN("-",FALSE,Prodct[[#This Row],[Category]],Prodct[[#This Row],[Subcategory]],Prodct[[#This Row],[Brand]],Prodct[[#This Row],[Model Number]])</f>
        <v>Electronics-Wearables-Fitbit-Inspire-3-1</v>
      </c>
      <c r="I17" t="str">
        <f>_xlfn.TEXTJOIN("-",TRUE,Prodct[[#This Row],[Category]],Prodct[[#This Row],[Subcategory]],Prodct[[#This Row],[Brand]],Prodct[[#This Row],[Model Number]])</f>
        <v>Electronics-Wearables-Fitbit-Inspire-3-1</v>
      </c>
    </row>
    <row r="18" spans="1:9" x14ac:dyDescent="0.25">
      <c r="A18" t="s">
        <v>84</v>
      </c>
      <c r="B18" t="s">
        <v>104</v>
      </c>
      <c r="C18" t="s">
        <v>6</v>
      </c>
      <c r="E18" t="s">
        <v>48</v>
      </c>
      <c r="F18" t="s">
        <v>49</v>
      </c>
      <c r="H18" t="str">
        <f>_xlfn.TEXTJOIN("-",FALSE,Prodct[[#This Row],[Category]],Prodct[[#This Row],[Subcategory]],Prodct[[#This Row],[Brand]],Prodct[[#This Row],[Model Number]])</f>
        <v>Electronics--Loop-Quiet-2</v>
      </c>
      <c r="I18" t="str">
        <f>_xlfn.TEXTJOIN("-",TRUE,Prodct[[#This Row],[Category]],Prodct[[#This Row],[Subcategory]],Prodct[[#This Row],[Brand]],Prodct[[#This Row],[Model Number]])</f>
        <v>Electronics-Loop-Quiet-2</v>
      </c>
    </row>
    <row r="19" spans="1:9" x14ac:dyDescent="0.25">
      <c r="A19" t="s">
        <v>85</v>
      </c>
      <c r="B19" t="s">
        <v>105</v>
      </c>
      <c r="C19" t="s">
        <v>6</v>
      </c>
      <c r="D19" t="s">
        <v>50</v>
      </c>
      <c r="E19" t="s">
        <v>51</v>
      </c>
      <c r="F19" t="s">
        <v>52</v>
      </c>
      <c r="H19" t="str">
        <f>_xlfn.TEXTJOIN("-",FALSE,Prodct[[#This Row],[Category]],Prodct[[#This Row],[Subcategory]],Prodct[[#This Row],[Brand]],Prodct[[#This Row],[Model Number]])</f>
        <v>Electronics-Network-TP-Link-AX3000</v>
      </c>
      <c r="I19" t="str">
        <f>_xlfn.TEXTJOIN("-",TRUE,Prodct[[#This Row],[Category]],Prodct[[#This Row],[Subcategory]],Prodct[[#This Row],[Brand]],Prodct[[#This Row],[Model Number]])</f>
        <v>Electronics-Network-TP-Link-AX3000</v>
      </c>
    </row>
    <row r="20" spans="1:9" x14ac:dyDescent="0.25">
      <c r="A20" t="s">
        <v>86</v>
      </c>
      <c r="B20" t="s">
        <v>106</v>
      </c>
      <c r="C20" t="s">
        <v>35</v>
      </c>
      <c r="E20" t="s">
        <v>54</v>
      </c>
      <c r="F20" t="s">
        <v>55</v>
      </c>
      <c r="H20" t="str">
        <f>_xlfn.TEXTJOIN("-",FALSE,Prodct[[#This Row],[Category]],Prodct[[#This Row],[Subcategory]],Prodct[[#This Row],[Brand]],Prodct[[#This Row],[Model Number]])</f>
        <v>Office--Epson-TM-T20</v>
      </c>
      <c r="I20" t="str">
        <f>_xlfn.TEXTJOIN("-",TRUE,Prodct[[#This Row],[Category]],Prodct[[#This Row],[Subcategory]],Prodct[[#This Row],[Brand]],Prodct[[#This Row],[Model Number]])</f>
        <v>Office-Epson-TM-T20</v>
      </c>
    </row>
    <row r="21" spans="1:9" x14ac:dyDescent="0.25">
      <c r="A21" t="s">
        <v>87</v>
      </c>
      <c r="B21" t="s">
        <v>107</v>
      </c>
      <c r="C21" t="s">
        <v>6</v>
      </c>
      <c r="D21" t="s">
        <v>26</v>
      </c>
      <c r="E21" t="s">
        <v>56</v>
      </c>
      <c r="F21" t="s">
        <v>57</v>
      </c>
      <c r="H21" t="str">
        <f>_xlfn.TEXTJOIN("-",FALSE,Prodct[[#This Row],[Category]],Prodct[[#This Row],[Subcategory]],Prodct[[#This Row],[Brand]],Prodct[[#This Row],[Model Number]])</f>
        <v>Electronics-Video-GoPro-Hero-12</v>
      </c>
      <c r="I21" t="str">
        <f>_xlfn.TEXTJOIN("-",TRUE,Prodct[[#This Row],[Category]],Prodct[[#This Row],[Subcategory]],Prodct[[#This Row],[Brand]],Prodct[[#This Row],[Model Number]])</f>
        <v>Electronics-Video-GoPro-Hero-12</v>
      </c>
    </row>
  </sheetData>
  <mergeCells count="1">
    <mergeCell ref="H1:I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Part1</vt:lpstr>
      <vt:lpstr>Part2</vt:lpstr>
      <vt:lpstr>Part3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 Gadhavi</dc:creator>
  <cp:lastModifiedBy>ASDC12</cp:lastModifiedBy>
  <dcterms:created xsi:type="dcterms:W3CDTF">2026-10-04T09:18:06Z</dcterms:created>
  <dcterms:modified xsi:type="dcterms:W3CDTF">2026-10-17T12:22:33Z</dcterms:modified>
</cp:coreProperties>
</file>