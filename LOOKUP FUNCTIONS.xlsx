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35\Desktop\Sanj Power BI\Sanj\New folder\HIMANSHUDA24\"/>
    </mc:Choice>
  </mc:AlternateContent>
  <xr:revisionPtr revIDLastSave="0" documentId="8_{41F8F9CE-C820-44A6-9A03-6C78A2E4BE16}" xr6:coauthVersionLast="47" xr6:coauthVersionMax="47" xr10:uidLastSave="{00000000-0000-0000-0000-000000000000}"/>
  <bookViews>
    <workbookView xWindow="-120" yWindow="-120" windowWidth="29040" windowHeight="15720" xr2:uid="{0E7DA9C6-C8AA-427F-8130-19A4F6426A0F}"/>
  </bookViews>
  <sheets>
    <sheet name="Lookup_Concept" sheetId="1" r:id="rId1"/>
    <sheet name="Lookup_Example" sheetId="2" r:id="rId2"/>
    <sheet name="Vlookup_Concept" sheetId="3" r:id="rId3"/>
    <sheet name="Vlookup_Example" sheetId="4" r:id="rId4"/>
    <sheet name="Hlookup_Concepts" sheetId="5" r:id="rId5"/>
    <sheet name="Hlookup_Examples" sheetId="6" r:id="rId6"/>
    <sheet name="IndexMatch_Concept" sheetId="7" r:id="rId7"/>
    <sheet name="IndexMatch_Examples" sheetId="8" r:id="rId8"/>
    <sheet name="Xlookup_Concept_Example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1" l="1"/>
  <c r="K12" i="1"/>
  <c r="J31" i="8" a="1"/>
  <c r="J31" i="8" s="1"/>
  <c r="Z35" i="9"/>
  <c r="Z36" i="9"/>
  <c r="Z37" i="9"/>
  <c r="Z32" i="9"/>
  <c r="Z33" i="9"/>
  <c r="Z31" i="9"/>
  <c r="W36" i="9"/>
  <c r="W37" i="9"/>
  <c r="W35" i="9"/>
  <c r="W31" i="9"/>
  <c r="T36" i="9"/>
  <c r="T37" i="9"/>
  <c r="T35" i="9"/>
  <c r="T31" i="9"/>
  <c r="W32" i="9"/>
  <c r="W33" i="9"/>
  <c r="T32" i="9"/>
  <c r="T33" i="9"/>
  <c r="M32" i="8" a="1"/>
  <c r="M32" i="8" s="1"/>
  <c r="M33" i="8" a="1"/>
  <c r="M33" i="8"/>
  <c r="M31" i="8" a="1"/>
  <c r="M31" i="8" s="1"/>
  <c r="J32" i="8" a="1"/>
  <c r="J32" i="8" s="1"/>
  <c r="J33" i="8" a="1"/>
  <c r="J33" i="8" s="1"/>
  <c r="D20" i="8"/>
  <c r="C20" i="8"/>
  <c r="C19" i="8" a="1"/>
  <c r="C19" i="8" s="1"/>
  <c r="N16" i="8"/>
  <c r="N15" i="8"/>
  <c r="C22" i="8" a="1"/>
  <c r="C22" i="8" s="1"/>
  <c r="C24" i="8" a="1"/>
  <c r="C24" i="8" s="1"/>
  <c r="F48" i="7"/>
  <c r="E48" i="7"/>
  <c r="E47" i="7"/>
  <c r="F40" i="8"/>
  <c r="F41" i="8"/>
  <c r="F39" i="8"/>
  <c r="F30" i="8"/>
  <c r="F31" i="8"/>
  <c r="F32" i="8"/>
  <c r="G26" i="4"/>
  <c r="G27" i="4"/>
  <c r="G25" i="4"/>
  <c r="I9" i="6"/>
  <c r="I10" i="6"/>
  <c r="I11" i="6"/>
  <c r="K4" i="4" a="1"/>
  <c r="K4" i="4" s="1"/>
  <c r="B12" i="8"/>
  <c r="C18" i="4"/>
  <c r="C15" i="4"/>
  <c r="C12" i="4"/>
  <c r="G12" i="4" a="1"/>
  <c r="G12" i="4" s="1"/>
  <c r="C44" i="7" a="1"/>
  <c r="C44" i="7" s="1"/>
  <c r="C40" i="7"/>
  <c r="B19" i="7"/>
  <c r="B18" i="7"/>
  <c r="B17" i="7"/>
  <c r="G19" i="4"/>
  <c r="C18" i="6"/>
  <c r="J15" i="8" a="1"/>
  <c r="J15" i="8" s="1"/>
  <c r="K22" i="8" a="1"/>
  <c r="K22" i="8" s="1"/>
  <c r="J19" i="8" a="1"/>
  <c r="J19" i="8" s="1"/>
  <c r="J16" i="8"/>
  <c r="B15" i="8" a="1"/>
  <c r="B15" i="8" s="1"/>
  <c r="P54" i="9"/>
  <c r="P53" i="9"/>
  <c r="P52" i="9"/>
  <c r="O52" i="9"/>
  <c r="P47" i="9"/>
  <c r="P43" i="9"/>
  <c r="P44" i="9"/>
  <c r="P48" i="9"/>
  <c r="P40" i="9"/>
  <c r="P39" i="9"/>
  <c r="P38" i="9"/>
  <c r="M38" i="9"/>
  <c r="M45" i="9"/>
  <c r="M44" i="9"/>
  <c r="M43" i="9"/>
  <c r="M42" i="9"/>
  <c r="M41" i="9"/>
  <c r="M40" i="9"/>
  <c r="M39" i="9"/>
  <c r="M25" i="9"/>
  <c r="M24" i="9"/>
  <c r="V18" i="9" a="1"/>
  <c r="V18" i="9" s="1"/>
  <c r="R19" i="9" a="1"/>
  <c r="R19" i="9" s="1"/>
  <c r="R20" i="9" a="1"/>
  <c r="R20" i="9" s="1"/>
  <c r="R15" i="9" a="1"/>
  <c r="R15" i="9" s="1"/>
  <c r="R16" i="9" a="1"/>
  <c r="R16" i="9" s="1"/>
  <c r="W15" i="9"/>
  <c r="M21" i="9"/>
  <c r="M18" i="9" a="1"/>
  <c r="M18" i="9" s="1"/>
  <c r="M15" i="9" a="1"/>
  <c r="M15" i="9" s="1"/>
  <c r="V26" i="9" a="1"/>
  <c r="V26" i="9" s="1"/>
  <c r="R23" i="9" a="1"/>
  <c r="R23" i="9" s="1"/>
  <c r="V21" i="9" a="1"/>
  <c r="V21" i="9"/>
  <c r="L21" i="9"/>
  <c r="Z18" i="9" a="1"/>
  <c r="Z18" i="9" s="1"/>
  <c r="V15" i="9"/>
  <c r="R12" i="9" a="1"/>
  <c r="R12" i="9" s="1"/>
  <c r="M12" i="9"/>
  <c r="M25" i="7"/>
  <c r="M24" i="7" a="1"/>
  <c r="M24" i="7" s="1"/>
  <c r="M23" i="7" a="1"/>
  <c r="M23" i="7" s="1"/>
  <c r="F47" i="7"/>
  <c r="C43" i="7"/>
  <c r="C42" i="7"/>
  <c r="C41" i="7"/>
  <c r="C39" i="7"/>
  <c r="M32" i="7"/>
  <c r="M31" i="7"/>
  <c r="M30" i="7"/>
  <c r="M29" i="7"/>
  <c r="M26" i="7" a="1"/>
  <c r="M26" i="7" s="1"/>
  <c r="M22" i="7"/>
  <c r="E14" i="6" l="1"/>
  <c r="J4" i="6"/>
  <c r="K4" i="6"/>
  <c r="L4" i="6"/>
  <c r="I4" i="6"/>
  <c r="J3" i="6"/>
  <c r="K3" i="6"/>
  <c r="L3" i="6"/>
  <c r="I3" i="6"/>
  <c r="G15" i="6"/>
  <c r="G14" i="6"/>
  <c r="F14" i="6" a="1"/>
  <c r="F14" i="6" s="1"/>
  <c r="D14" i="6"/>
  <c r="E15" i="6"/>
  <c r="D15" i="6"/>
  <c r="C15" i="6"/>
  <c r="C14" i="6"/>
  <c r="L9" i="4"/>
  <c r="K9" i="4"/>
  <c r="K5" i="4" a="1"/>
  <c r="K5" i="4" s="1"/>
  <c r="K6" i="4" a="1"/>
  <c r="K6" i="4" s="1"/>
  <c r="K3" i="4" a="1"/>
  <c r="K3" i="4" s="1"/>
  <c r="G15" i="4" a="1"/>
  <c r="G15" i="4" s="1"/>
  <c r="D21" i="4"/>
  <c r="C21" i="4"/>
  <c r="D18" i="4"/>
  <c r="D15" i="4"/>
  <c r="D12" i="4"/>
  <c r="L16" i="2"/>
  <c r="L15" i="2"/>
  <c r="K15" i="2"/>
  <c r="N8" i="2"/>
  <c r="K8" i="2"/>
  <c r="J7" i="2"/>
  <c r="K7" i="2" s="1"/>
  <c r="K32" i="1"/>
  <c r="K31" i="1"/>
  <c r="K24" i="1"/>
  <c r="L18" i="1"/>
  <c r="K15" i="1"/>
  <c r="O3" i="1"/>
  <c r="L24" i="1" l="1"/>
  <c r="K27" i="1"/>
  <c r="L27" i="1"/>
  <c r="K3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<sst xmlns="http://schemas.openxmlformats.org/spreadsheetml/2006/main" count="787" uniqueCount="217">
  <si>
    <t>LOOKUP()</t>
  </si>
  <si>
    <t>Binary Search is the specific algorithm Excel's legacy LOOKUP function uses to search through data. Instead of scanning a column row-by-row from top to bottom (linear search), binary search uses a "divide-and-conquer" approach to find values significantly faster.</t>
  </si>
  <si>
    <t>&lt;=</t>
  </si>
  <si>
    <t>The LOOKUP formula assumes the lookup column is sorted in ascending order; since "Sarah Chen" is the middle value and 'J' comes before 'S', it only searches for "James Wilson" in the rows above "Sarah Chen" - missing his actual entry below.</t>
  </si>
  <si>
    <t>Employee ID</t>
  </si>
  <si>
    <t>Name</t>
  </si>
  <si>
    <t>Department</t>
  </si>
  <si>
    <t>Region</t>
  </si>
  <si>
    <t>Base Salary ($)</t>
  </si>
  <si>
    <t>Sales Target ($)</t>
  </si>
  <si>
    <t>Actual Sales ($)</t>
  </si>
  <si>
    <t>EMP-105</t>
  </si>
  <si>
    <t>Priya Wilson</t>
  </si>
  <si>
    <t>Engineering</t>
  </si>
  <si>
    <t>North</t>
  </si>
  <si>
    <t>EMP-102</t>
  </si>
  <si>
    <t>Marcus Vance</t>
  </si>
  <si>
    <t>Sales</t>
  </si>
  <si>
    <t>South</t>
  </si>
  <si>
    <t>EMP-107</t>
  </si>
  <si>
    <t>Aisha Khan</t>
  </si>
  <si>
    <t>East</t>
  </si>
  <si>
    <t>Works Left to Right</t>
  </si>
  <si>
    <t>EMP-101</t>
  </si>
  <si>
    <t>Sarah Chen</t>
  </si>
  <si>
    <t>EMP-104</t>
  </si>
  <si>
    <t>James Wilson</t>
  </si>
  <si>
    <t>West</t>
  </si>
  <si>
    <t>EMP-106</t>
  </si>
  <si>
    <t>David Kim</t>
  </si>
  <si>
    <t>Finance</t>
  </si>
  <si>
    <t>Works Right to Left</t>
  </si>
  <si>
    <t>EMP-103</t>
  </si>
  <si>
    <t>Elena Rostova</t>
  </si>
  <si>
    <t>Marketing</t>
  </si>
  <si>
    <r>
      <t xml:space="preserve">How the Array Form Works: When you supply a multi-column range like A2:E8 to LOOKUP, Excel automatically follows these built-in rules:
</t>
    </r>
    <r>
      <rPr>
        <b/>
        <sz val="11"/>
        <color theme="1"/>
        <rFont val="Calibri"/>
        <family val="2"/>
        <scheme val="minor"/>
      </rPr>
      <t>Search Range:</t>
    </r>
    <r>
      <rPr>
        <sz val="11"/>
        <color theme="1"/>
        <rFont val="Calibri"/>
        <family val="2"/>
        <scheme val="minor"/>
      </rPr>
      <t xml:space="preserve"> Always searches the first column of the range (A2:A8).           </t>
    </r>
    <r>
      <rPr>
        <b/>
        <sz val="11"/>
        <color theme="1"/>
        <rFont val="Calibri"/>
        <family val="2"/>
        <scheme val="minor"/>
      </rPr>
      <t>Return Range:</t>
    </r>
    <r>
      <rPr>
        <sz val="11"/>
        <color theme="1"/>
        <rFont val="Calibri"/>
        <family val="2"/>
        <scheme val="minor"/>
      </rPr>
      <t xml:space="preserve"> Always returns the value from the last column of the range (E2:E8).</t>
    </r>
  </si>
  <si>
    <r>
      <rPr>
        <b/>
        <sz val="11"/>
        <color theme="1"/>
        <rFont val="Calibri"/>
        <family val="2"/>
        <scheme val="minor"/>
      </rPr>
      <t>Lookup Vector</t>
    </r>
    <r>
      <rPr>
        <sz val="11"/>
        <color theme="1"/>
        <rFont val="Calibri"/>
        <family val="2"/>
        <scheme val="minor"/>
      </rPr>
      <t xml:space="preserve"> (Where you search): </t>
    </r>
    <r>
      <rPr>
        <b/>
        <sz val="11"/>
        <color theme="1"/>
        <rFont val="Calibri"/>
        <family val="2"/>
        <scheme val="minor"/>
      </rPr>
      <t>MUST be sorted</t>
    </r>
    <r>
      <rPr>
        <sz val="11"/>
        <color theme="1"/>
        <rFont val="Calibri"/>
        <family val="2"/>
        <scheme val="minor"/>
      </rPr>
      <t xml:space="preserve"> in ascending order. Excel uses this column to navigate to the correct position.   
</t>
    </r>
    <r>
      <rPr>
        <b/>
        <sz val="11"/>
        <color theme="1"/>
        <rFont val="Calibri"/>
        <family val="2"/>
        <scheme val="minor"/>
      </rPr>
      <t>Return Vector</t>
    </r>
    <r>
      <rPr>
        <sz val="11"/>
        <color theme="1"/>
        <rFont val="Calibri"/>
        <family val="2"/>
        <scheme val="minor"/>
      </rPr>
      <t xml:space="preserve"> (Where the result comes from): </t>
    </r>
    <r>
      <rPr>
        <b/>
        <sz val="11"/>
        <color theme="1"/>
        <rFont val="Calibri"/>
        <family val="2"/>
        <scheme val="minor"/>
      </rPr>
      <t>Does NOT need to be sorted</t>
    </r>
    <r>
      <rPr>
        <sz val="11"/>
        <color theme="1"/>
        <rFont val="Calibri"/>
        <family val="2"/>
        <scheme val="minor"/>
      </rPr>
      <t xml:space="preserve">. Excel simply returns the item from the exact same row position that it found in the lookup vector.   </t>
    </r>
  </si>
  <si>
    <t>The Array form =LOOKUP(value, array) always searches the first column of your selection and returns from the last column, so selecting B14:E20 forces Excel to search for the number 85,000 inside the text Names in Column B.</t>
  </si>
  <si>
    <t>LOOKUP() defaults to the largest value that is smaller than or equal to your search value.</t>
  </si>
  <si>
    <t>Priya Patel</t>
  </si>
  <si>
    <t>Sales Target Threshold ($)</t>
  </si>
  <si>
    <t>Bonus Tier</t>
  </si>
  <si>
    <t>Standard Bonus</t>
  </si>
  <si>
    <t>Silver Bonus</t>
  </si>
  <si>
    <t>Gold Bonus</t>
  </si>
  <si>
    <t>No Bonus</t>
  </si>
  <si>
    <t>LOOKUP() strictly follows a "less than or equal to matching logic: if a value exceeds the highest threshold, it matches the largest available threshold and caps at the top tier. The minimum threshold must be strictly less than or equal to the smallest dataset value</t>
  </si>
  <si>
    <t>VLOOKUP()</t>
  </si>
  <si>
    <t>VLOOKUP is an Excel function that searches vertically down the leftmost column of a data table to find a specific value. Once the value is located, it retrieves and returns a corresponding piece of data from a specified column in the exact same row.</t>
  </si>
  <si>
    <t>The search key must reside in the leftmost column of the selected table array; it cannot fetch values from columns positioned to its left.</t>
  </si>
  <si>
    <t>It strictly scans downward from the first row to the last, meaning it cannot search vertically up or return the last matching instance in a dataset.If your dataset contains duplicate values, VLOOKUP always stops at the first occurrence and ignores any subsequent matching rows beneath it.</t>
  </si>
  <si>
    <t>It uses hardcoded numeric column offsets (e.g., column 3), which break and return incorrect data if you insert or delete columns within your table.</t>
  </si>
  <si>
    <r>
      <t xml:space="preserve">If you omit the 4th argument (e.g., =VLOOKUP("EMP-104", A2:G8, 2)), </t>
    </r>
    <r>
      <rPr>
        <b/>
        <sz val="11"/>
        <color theme="1"/>
        <rFont val="Calibri"/>
        <family val="2"/>
        <scheme val="minor"/>
      </rPr>
      <t>Excel defaults to approximate match mode</t>
    </r>
    <r>
      <rPr>
        <sz val="11"/>
        <color theme="1"/>
        <rFont val="Calibri"/>
        <family val="2"/>
        <scheme val="minor"/>
      </rPr>
      <t xml:space="preserve"> (TRUE). If your dataset is unsorted, Excel won't throw an error, it will silently return misleading data without warning.</t>
    </r>
  </si>
  <si>
    <t>=VLOOKUP(lookup_value, table_array, col_index_num, [range_lookup])</t>
  </si>
  <si>
    <t>Where,</t>
  </si>
  <si>
    <t>[range_lookup]</t>
  </si>
  <si>
    <t>TRUE or 1:</t>
  </si>
  <si>
    <t>FALSE or 0</t>
  </si>
  <si>
    <t>exact match (linear search)</t>
  </si>
  <si>
    <t>=LOOKUP(lookup_value, lookup_vector, [result_vector])</t>
  </si>
  <si>
    <t>=LOOKUP(lookup_value, array)</t>
  </si>
  <si>
    <r>
      <rPr>
        <b/>
        <sz val="14"/>
        <color theme="1"/>
        <rFont val="Calibri"/>
        <family val="2"/>
        <scheme val="minor"/>
      </rPr>
      <t>Understanding the Binary Search Algorithm</t>
    </r>
    <r>
      <rPr>
        <b/>
        <sz val="11"/>
        <color theme="1"/>
        <rFont val="Calibri"/>
        <family val="2"/>
        <scheme val="minor"/>
      </rPr>
      <t xml:space="preserve">
suppose, secret number = 68
Step 1: Low = 1, High = 100
        -&gt; Midpoint = (1 + 100) / 2 = 50.5 -&gt; Guess 50
        -&gt; Feedback: Secret number is HIGHER.
        -&gt; Eliminate: 1 to 50  |  New Range: 51 to 100
Step 2: Low = 51, High = 100
        -&gt; Midpoint = (51 + 100) / 2 = 75.5 -&gt; Guess 75
        -&gt; Feedback: Secret number is LOWER.
        -&gt; Eliminate: 75 to 100  |  New Range: 51 to 74
Step 3: Low = 51, High = 74
        -&gt; Midpoint = (51 + 74) / 2 = 62.5 -&gt; Guess 62
        -&gt; Feedback: Secret number is HIGHER.
        -&gt; Eliminate: 51 to 62  |  New Range: 63 to 74
Step 4: Low = 63, High = 74
        -&gt; Midpoint = (63 + 74) / 2 = 68.5 -&gt; Guess 68
        -&gt; Feedback: MATCH FOUND! </t>
    </r>
  </si>
  <si>
    <t>James ~Wilson</t>
  </si>
  <si>
    <t>David *Kim</t>
  </si>
  <si>
    <t>HLOOKUP()</t>
  </si>
  <si>
    <t>=HLOOKUP(lookup_value, table_array, row_index_num, [range_lookup])</t>
  </si>
  <si>
    <r>
      <t xml:space="preserve">approximate match (The left-most column of the table array must be sorted in ascending order for </t>
    </r>
    <r>
      <rPr>
        <b/>
        <sz val="11"/>
        <color theme="1"/>
        <rFont val="Calibri"/>
        <family val="2"/>
        <scheme val="minor"/>
      </rPr>
      <t>binary search</t>
    </r>
    <r>
      <rPr>
        <sz val="11"/>
        <color theme="1"/>
        <rFont val="Calibri"/>
        <family val="2"/>
        <scheme val="minor"/>
      </rPr>
      <t xml:space="preserve"> to work correctly.)</t>
    </r>
  </si>
  <si>
    <r>
      <t xml:space="preserve">approximate match (The top row of the table array must be sorted in ascending order for </t>
    </r>
    <r>
      <rPr>
        <b/>
        <sz val="11"/>
        <color theme="1"/>
        <rFont val="Calibri"/>
        <family val="2"/>
        <scheme val="minor"/>
      </rPr>
      <t>binary search</t>
    </r>
    <r>
      <rPr>
        <sz val="11"/>
        <color theme="1"/>
        <rFont val="Calibri"/>
        <family val="2"/>
        <scheme val="minor"/>
      </rPr>
      <t xml:space="preserve"> to work correctly.)</t>
    </r>
  </si>
  <si>
    <t>Quarter</t>
  </si>
  <si>
    <t>Qtr 1</t>
  </si>
  <si>
    <t>Qtr 2</t>
  </si>
  <si>
    <t>Qtr 3</t>
  </si>
  <si>
    <t>Qtr 4</t>
  </si>
  <si>
    <t>Account Manager</t>
  </si>
  <si>
    <t>Sarah *Chen</t>
  </si>
  <si>
    <t>Primary Region</t>
  </si>
  <si>
    <t>Status</t>
  </si>
  <si>
    <t>Closed</t>
  </si>
  <si>
    <t>Active</t>
  </si>
  <si>
    <t>Pending</t>
  </si>
  <si>
    <t>Performance Tier</t>
  </si>
  <si>
    <t>Target Exceeded</t>
  </si>
  <si>
    <t>On Track</t>
  </si>
  <si>
    <t>Needs Review</t>
  </si>
  <si>
    <t>Product Sales ($)</t>
  </si>
  <si>
    <t>Service Revenue ($)</t>
  </si>
  <si>
    <t>Total Revenue ($)</t>
  </si>
  <si>
    <t>Operating Expenses ($)</t>
  </si>
  <si>
    <t>Net Profit ($)</t>
  </si>
  <si>
    <t>HLOOKUP is an Excel function that searches horizontally across the top row of a data table to find a specific value. Once the value is located, it retrieves and returns a corresponding piece of data from a specified row in the exact same column.</t>
  </si>
  <si>
    <t>The search key must reside in the top row of the selected table array; it cannot fetch values from rows positioned above it.</t>
  </si>
  <si>
    <t>If you omit the 4th argument (e.g., =HLOOKUP("EMP-104", A2:G2, 2)), Excel defaults to approximate match mode (TRUE). If your dataset is unsorted, HLOOKUP won't throw an error; it will silently return misleading data without warning.</t>
  </si>
  <si>
    <t>t scans from left to right, meaning it cannot search horizontally backward or return the last matching instance in a dataset. If your dataset contains duplicate values, HLOOKUP always stops at the first occurrence and ignores any subsequent matching columns to its right.</t>
  </si>
  <si>
    <t>It uses hardcoded numeric row offsets (e.g., row 3), which break and return incorrect data if you insert or delete rows within your table.</t>
  </si>
  <si>
    <t>MATCH()</t>
  </si>
  <si>
    <t>INDEX()</t>
  </si>
  <si>
    <t>MATCH(lookup_value, lookup_array, [match_type])</t>
  </si>
  <si>
    <t>INDEX(array, row_num, [column_num])</t>
  </si>
  <si>
    <t xml:space="preserve"> [match_type])</t>
  </si>
  <si>
    <t>0</t>
  </si>
  <si>
    <t>Exact Match</t>
  </si>
  <si>
    <t>linear search</t>
  </si>
  <si>
    <t>INDEX(reference, row_num, [column_num], [area_num])</t>
  </si>
  <si>
    <r>
      <t xml:space="preserve">1 </t>
    </r>
    <r>
      <rPr>
        <i/>
        <sz val="11"/>
        <color theme="1"/>
        <rFont val="Calibri"/>
        <family val="2"/>
        <scheme val="minor"/>
      </rPr>
      <t>(Default)</t>
    </r>
  </si>
  <si>
    <t>Less Than</t>
  </si>
  <si>
    <t>binary search</t>
  </si>
  <si>
    <t>-1</t>
  </si>
  <si>
    <t>Greater Than</t>
  </si>
  <si>
    <t>array:</t>
  </si>
  <si>
    <t>The range of cells or table array containing your data</t>
  </si>
  <si>
    <t>reference:</t>
  </si>
  <si>
    <r>
      <rPr>
        <sz val="11"/>
        <color theme="1"/>
        <rFont val="Calibri"/>
        <family val="2"/>
        <scheme val="minor"/>
      </rPr>
      <t xml:space="preserve">Multiple cell ranges enclosed in parentheses, separated by commas (e.g., </t>
    </r>
    <r>
      <rPr>
        <sz val="10"/>
        <color theme="1"/>
        <rFont val="Arial Unicode MS"/>
      </rPr>
      <t>(A1:C10, E1:G10)</t>
    </r>
    <r>
      <rPr>
        <sz val="11"/>
        <color theme="1"/>
        <rFont val="Calibri"/>
        <family val="2"/>
        <scheme val="minor"/>
      </rPr>
      <t>).</t>
    </r>
  </si>
  <si>
    <t>row_num:</t>
  </si>
  <si>
    <t>The row number in the selected area from which to return a value.</t>
  </si>
  <si>
    <t>[column_num]:</t>
  </si>
  <si>
    <r>
      <rPr>
        <i/>
        <sz val="11"/>
        <color theme="1"/>
        <rFont val="Calibri"/>
        <family val="2"/>
        <scheme val="minor"/>
      </rPr>
      <t>(Optional)</t>
    </r>
    <r>
      <rPr>
        <sz val="11"/>
        <color theme="1"/>
        <rFont val="Calibri"/>
        <family val="2"/>
        <scheme val="minor"/>
      </rPr>
      <t xml:space="preserve"> The column number in the selected area from which to return a value.</t>
    </r>
  </si>
  <si>
    <t>[area_num]:</t>
  </si>
  <si>
    <r>
      <rPr>
        <i/>
        <sz val="11"/>
        <color theme="1"/>
        <rFont val="Calibri"/>
        <family val="2"/>
        <scheme val="minor"/>
      </rPr>
      <t>(Optional)</t>
    </r>
    <r>
      <rPr>
        <sz val="11"/>
        <color theme="1"/>
        <rFont val="Calibri"/>
        <family val="2"/>
        <scheme val="minor"/>
      </rPr>
      <t xml:space="preserve"> Selects which range in </t>
    </r>
    <r>
      <rPr>
        <sz val="10"/>
        <color theme="1"/>
        <rFont val="Arial Unicode MS"/>
      </rPr>
      <t>reference</t>
    </r>
    <r>
      <rPr>
        <sz val="11"/>
        <color theme="1"/>
        <rFont val="Calibri"/>
        <family val="2"/>
        <scheme val="minor"/>
      </rPr>
      <t xml:space="preserve"> to use (</t>
    </r>
    <r>
      <rPr>
        <sz val="10"/>
        <color theme="1"/>
        <rFont val="Arial Unicode MS"/>
      </rPr>
      <t>1</t>
    </r>
    <r>
      <rPr>
        <sz val="11"/>
        <color theme="1"/>
        <rFont val="Calibri"/>
        <family val="2"/>
        <scheme val="minor"/>
      </rPr>
      <t xml:space="preserve"> for the first range, </t>
    </r>
    <r>
      <rPr>
        <sz val="10"/>
        <color theme="1"/>
        <rFont val="Arial Unicode MS"/>
      </rPr>
      <t>2</t>
    </r>
    <r>
      <rPr>
        <sz val="11"/>
        <color theme="1"/>
        <rFont val="Calibri"/>
        <family val="2"/>
        <scheme val="minor"/>
      </rPr>
      <t xml:space="preserve"> for the second range, etc.). Default is </t>
    </r>
    <r>
      <rPr>
        <sz val="10"/>
        <color theme="1"/>
        <rFont val="Arial Unicode MS"/>
      </rPr>
      <t>1</t>
    </r>
    <r>
      <rPr>
        <sz val="11"/>
        <color theme="1"/>
        <rFont val="Calibri"/>
        <family val="2"/>
        <scheme val="minor"/>
      </rPr>
      <t>.</t>
    </r>
  </si>
  <si>
    <t>Explicitly uses match_type = 1 (binary search).</t>
  </si>
  <si>
    <r>
      <t xml:space="preserve">Omits </t>
    </r>
    <r>
      <rPr>
        <sz val="10"/>
        <color theme="1"/>
        <rFont val="Arial Unicode MS"/>
      </rPr>
      <t>match_type</t>
    </r>
    <r>
      <rPr>
        <sz val="11"/>
        <color theme="1"/>
        <rFont val="Calibri"/>
        <family val="2"/>
        <scheme val="minor"/>
      </rPr>
      <t xml:space="preserve">, causing Excel to default to </t>
    </r>
    <r>
      <rPr>
        <sz val="10"/>
        <color theme="1"/>
        <rFont val="Arial Unicode MS"/>
      </rPr>
      <t>1</t>
    </r>
    <r>
      <rPr>
        <sz val="11"/>
        <color theme="1"/>
        <rFont val="Calibri"/>
        <family val="2"/>
        <scheme val="minor"/>
      </rPr>
      <t xml:space="preserve"> (binary search)</t>
    </r>
  </si>
  <si>
    <r>
      <t xml:space="preserve">Trailing comma forces </t>
    </r>
    <r>
      <rPr>
        <sz val="10"/>
        <color theme="1"/>
        <rFont val="Arial Unicode MS"/>
      </rPr>
      <t>match_type</t>
    </r>
    <r>
      <rPr>
        <sz val="11"/>
        <color theme="1"/>
        <rFont val="Calibri"/>
        <family val="2"/>
        <scheme val="minor"/>
      </rPr>
      <t xml:space="preserve"> to </t>
    </r>
    <r>
      <rPr>
        <sz val="10"/>
        <color theme="1"/>
        <rFont val="Arial Unicode MS"/>
      </rPr>
      <t>0</t>
    </r>
  </si>
  <si>
    <t>XMATCH()</t>
  </si>
  <si>
    <t>First Syntax</t>
  </si>
  <si>
    <t>XMATCH(lookup_value, lookup_array, [match_mode], [search_mode])</t>
  </si>
  <si>
    <t>lookup_value:</t>
  </si>
  <si>
    <t>The value you want to search for in your dataset</t>
  </si>
  <si>
    <t>lookup_array:</t>
  </si>
  <si>
    <t>The single-column or single-row range to search within</t>
  </si>
  <si>
    <t>[match_mode]:</t>
  </si>
  <si>
    <r>
      <t>0</t>
    </r>
    <r>
      <rPr>
        <sz val="11"/>
        <color theme="1"/>
        <rFont val="Calibri"/>
        <family val="2"/>
        <scheme val="minor"/>
      </rPr>
      <t xml:space="preserve"> </t>
    </r>
    <r>
      <rPr>
        <i/>
        <sz val="11"/>
        <color theme="1"/>
        <rFont val="Calibri"/>
        <family val="2"/>
        <scheme val="minor"/>
      </rPr>
      <t>(Default)</t>
    </r>
    <r>
      <rPr>
        <sz val="11"/>
        <color theme="1"/>
        <rFont val="Calibri"/>
        <family val="2"/>
        <scheme val="minor"/>
      </rPr>
      <t>:</t>
    </r>
  </si>
  <si>
    <t>Exact match</t>
  </si>
  <si>
    <t>Second Syntax</t>
  </si>
  <si>
    <r>
      <t>-1</t>
    </r>
    <r>
      <rPr>
        <sz val="11"/>
        <color theme="1"/>
        <rFont val="Calibri"/>
        <family val="2"/>
        <scheme val="minor"/>
      </rPr>
      <t>:</t>
    </r>
  </si>
  <si>
    <t>Exact or next smaller item</t>
  </si>
  <si>
    <r>
      <t>1</t>
    </r>
    <r>
      <rPr>
        <sz val="11"/>
        <color theme="1"/>
        <rFont val="Calibri"/>
        <family val="2"/>
        <scheme val="minor"/>
      </rPr>
      <t>:</t>
    </r>
  </si>
  <si>
    <t>Exact or next larger item</t>
  </si>
  <si>
    <r>
      <t>2</t>
    </r>
    <r>
      <rPr>
        <sz val="11"/>
        <color theme="1"/>
        <rFont val="Calibri"/>
        <family val="2"/>
        <scheme val="minor"/>
      </rPr>
      <t>:</t>
    </r>
  </si>
  <si>
    <t>Wildcard match (*, ?, ~)</t>
  </si>
  <si>
    <t>[search_mode]:</t>
  </si>
  <si>
    <r>
      <t>1</t>
    </r>
    <r>
      <rPr>
        <sz val="11"/>
        <color theme="1"/>
        <rFont val="Arial"/>
        <family val="2"/>
      </rPr>
      <t xml:space="preserve"> </t>
    </r>
    <r>
      <rPr>
        <i/>
        <sz val="11"/>
        <color theme="1"/>
        <rFont val="Arial"/>
        <family val="2"/>
      </rPr>
      <t>(Default)</t>
    </r>
    <r>
      <rPr>
        <sz val="11"/>
        <color theme="1"/>
        <rFont val="Arial"/>
        <family val="2"/>
      </rPr>
      <t>:</t>
    </r>
  </si>
  <si>
    <t>First-to-last linear search</t>
  </si>
  <si>
    <r>
      <t>-1</t>
    </r>
    <r>
      <rPr>
        <sz val="11"/>
        <color theme="1"/>
        <rFont val="Arial"/>
        <family val="2"/>
      </rPr>
      <t>:</t>
    </r>
  </si>
  <si>
    <t>Last-to-first linear search (bottom-up)</t>
  </si>
  <si>
    <r>
      <t>2</t>
    </r>
    <r>
      <rPr>
        <sz val="11"/>
        <color theme="1"/>
        <rFont val="Arial"/>
        <family val="2"/>
      </rPr>
      <t>:</t>
    </r>
  </si>
  <si>
    <t>Binary search ascending (e.g., A-&gt;Z, 1-9, requires sorted data).</t>
  </si>
  <si>
    <r>
      <t>-2</t>
    </r>
    <r>
      <rPr>
        <sz val="11"/>
        <color theme="1"/>
        <rFont val="Arial"/>
        <family val="2"/>
      </rPr>
      <t>:</t>
    </r>
  </si>
  <si>
    <t>Binary search descending (e.g., Z-&gt;A, 9-1, requires sorted data).</t>
  </si>
  <si>
    <t>The AND() and OR() functions aggregate an entire range into a single TRUE or FALSE result, which breaks lookup functions that need row-by-row checks. In contrast, * (AND) and + (OR) perform element-by-element math that outputs an array of 1s and 0s for every individual row.</t>
  </si>
  <si>
    <t>XLOOKUP()</t>
  </si>
  <si>
    <t>XLOOKUP(lookup_value, lookup_array, return_array, [if_not_found], [match_mode], [search_mode])</t>
  </si>
  <si>
    <t>where,</t>
  </si>
  <si>
    <t>lookup_value</t>
  </si>
  <si>
    <t>The value you want to search for.</t>
  </si>
  <si>
    <t>lookup_array</t>
  </si>
  <si>
    <t>The array or range to search in.</t>
  </si>
  <si>
    <t>return_array</t>
  </si>
  <si>
    <t>The array or range containing the results you want returned.</t>
  </si>
  <si>
    <t>[if_not_found]</t>
  </si>
  <si>
    <t>Text or value to return if no match is found.</t>
  </si>
  <si>
    <t>[match_mode]</t>
  </si>
  <si>
    <t>0 (Default)</t>
  </si>
  <si>
    <t>Exact match.</t>
  </si>
  <si>
    <t>Exact match or next smaller item.</t>
  </si>
  <si>
    <t>1</t>
  </si>
  <si>
    <t>Exact match or next larger item.</t>
  </si>
  <si>
    <t>2</t>
  </si>
  <si>
    <t>[search_mode]</t>
  </si>
  <si>
    <t>1 (Default)</t>
  </si>
  <si>
    <t>Search starting from the first item to the last.</t>
  </si>
  <si>
    <t>Base Salary ($) &gt; 75000</t>
  </si>
  <si>
    <t>Actual Sales ($) &gt; 150000</t>
  </si>
  <si>
    <t>Search starting from the last item to the first (reverse lookup).</t>
  </si>
  <si>
    <t>Binary search (requires lookup_array sorted in ascending order).</t>
  </si>
  <si>
    <t>-2</t>
  </si>
  <si>
    <t>Binary search (requires lookup_array sorted in descending order).</t>
  </si>
  <si>
    <t>Key Capabilities</t>
  </si>
  <si>
    <t>Built-in Error Handling.</t>
  </si>
  <si>
    <t>Flexible Search Direction.</t>
  </si>
  <si>
    <t>No Hardcoded Column/Row Numbers.</t>
  </si>
  <si>
    <t>Exact Match by Default.</t>
  </si>
  <si>
    <t>Supports Wildcards Matching.</t>
  </si>
  <si>
    <t>elena</t>
  </si>
  <si>
    <t>"Elena Rostova" comes immediately after "elena" alphabetically</t>
  </si>
  <si>
    <t>Purchase</t>
  </si>
  <si>
    <t>Transport</t>
  </si>
  <si>
    <t>HR</t>
  </si>
  <si>
    <t>Eng</t>
  </si>
  <si>
    <t>Data</t>
  </si>
  <si>
    <t>An unsorted lookup array returns an invalid result (a wrong match or #N/A).</t>
  </si>
  <si>
    <t>the binary search algorithm evaluates "Eng" against the descending range and selects "Engineering" (EMP-106) as the exact next larger match.</t>
  </si>
  <si>
    <t>Replacing ? in ?a* with d gives da* ("David") and with s gives sa* ("Sarah"), placing valid matches both above and below a midpoint like "James". Because binary search relies on strict ordinal comparisons (&lt; or &gt;) to discard half the data, a wildcard pattern matching both sides renders the algorithm unable to choose a direction.</t>
  </si>
  <si>
    <t>The "-" only shows when Excel runs the search and find no match. Here, Excel stops with #Value! Before the search begins and never reaches the "-".</t>
  </si>
  <si>
    <t>2D Array (2 or more rows AND 2 or more columns) for a single cell: Both row_num and column_num are required.</t>
  </si>
  <si>
    <t>1-Column Array (N X 1): column_num is optional.</t>
  </si>
  <si>
    <t>1-Row Array (1 X N): row_num is optional (using ,, as the placeholder).</t>
  </si>
  <si>
    <t>2D Array (2 or more rows AND 2 or more columns): to return a whole row, set column_num to 0 or leave it blank after a comma (,); to return a whole column, set row_num to 0 or leave it blank before the comma (,,).</t>
  </si>
  <si>
    <t>VLOOKUP cannot perform a right-to-left lookup.</t>
  </si>
  <si>
    <t>HLOOKUP cannot perform a bottom-to-top lookup.</t>
  </si>
  <si>
    <t>Specifies how to match lookup_value</t>
  </si>
  <si>
    <t>MATCH(103,A9:A15,1)</t>
  </si>
  <si>
    <t>MATCH(103,A9:A15)</t>
  </si>
  <si>
    <t>MATCH(103,A9:A15,)</t>
  </si>
  <si>
    <t>Performs a linear search through the array item by item until it finds the match (first to last)</t>
  </si>
  <si>
    <t>Approx Match</t>
  </si>
  <si>
    <r>
      <t xml:space="preserve">Performs a binary search assuming the data is sorted in </t>
    </r>
    <r>
      <rPr>
        <b/>
        <sz val="11"/>
        <color theme="1"/>
        <rFont val="Calibri"/>
        <family val="2"/>
        <scheme val="minor"/>
      </rPr>
      <t>ascending order</t>
    </r>
    <r>
      <rPr>
        <sz val="11"/>
        <color theme="1"/>
        <rFont val="Calibri"/>
        <family val="2"/>
        <scheme val="minor"/>
      </rPr>
      <t xml:space="preserve"> (A to Z / 1 to 9)</t>
    </r>
  </si>
  <si>
    <r>
      <t xml:space="preserve">Performs a binary search assuming the data is sorted in </t>
    </r>
    <r>
      <rPr>
        <b/>
        <sz val="11"/>
        <color theme="1"/>
        <rFont val="Calibri"/>
        <family val="2"/>
        <scheme val="minor"/>
      </rPr>
      <t>descending order</t>
    </r>
    <r>
      <rPr>
        <sz val="11"/>
        <color theme="1"/>
        <rFont val="Calibri"/>
        <family val="2"/>
        <scheme val="minor"/>
      </rPr>
      <t xml:space="preserve"> (Z to A / 9 to 1)</t>
    </r>
  </si>
  <si>
    <t>*E?g*</t>
  </si>
  <si>
    <t>*o?T*</t>
  </si>
  <si>
    <t>*CHe*</t>
  </si>
  <si>
    <t>*~~Wil*</t>
  </si>
  <si>
    <t>*arc*</t>
  </si>
  <si>
    <t>*o?a</t>
  </si>
  <si>
    <t>*~**</t>
  </si>
  <si>
    <t>*~~*</t>
  </si>
  <si>
    <t>*s?n</t>
  </si>
  <si>
    <t>Approx Match using Binary Search</t>
  </si>
  <si>
    <t>Approx Match using Linear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</si>
</sst>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sz val="10"/>
      <color theme="1"/>
      <name val="Arial Unicode MS"/>
      <family val="2"/>
    </font>
    <font>
      <sz val="10"/>
      <color theme="1"/>
      <name val="Arial Unicode MS"/>
    </font>
    <font>
      <sz val="10"/>
      <color theme="1"/>
      <name val="Google Sans Text"/>
      <family val="2"/>
    </font>
    <font>
      <sz val="11"/>
      <color theme="1"/>
      <name val="Arial"/>
      <family val="2"/>
    </font>
    <font>
      <i/>
      <sz val="11"/>
      <color theme="1"/>
      <name val="Arial"/>
      <family val="2"/>
    </font>
    <font>
      <b/>
      <sz val="11"/>
      <color theme="0"/>
      <name val="Calibri"/>
      <family val="2"/>
      <scheme val="minor"/>
    </font>
    <font>
      <b/>
      <sz val="1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DEF40C"/>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rgb="FFFFFF66"/>
        <bgColor indexed="64"/>
      </patternFill>
    </fill>
    <fill>
      <patternFill patternType="solid">
        <fgColor theme="4"/>
        <bgColor indexed="64"/>
      </patternFill>
    </fill>
    <fill>
      <patternFill patternType="solid">
        <fgColor theme="4"/>
        <bgColor theme="4"/>
      </patternFill>
    </fill>
    <fill>
      <patternFill patternType="solid">
        <fgColor rgb="FFFFFF66"/>
        <bgColor theme="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bottom/>
      <diagonal/>
    </border>
  </borders>
  <cellStyleXfs count="1">
    <xf numFmtId="0" fontId="0" fillId="0" borderId="0"/>
  </cellStyleXfs>
  <cellXfs count="60">
    <xf numFmtId="0" fontId="0" fillId="0" borderId="0" xfId="0"/>
    <xf numFmtId="0" fontId="0" fillId="2" borderId="0" xfId="0" applyFill="1"/>
    <xf numFmtId="0" fontId="1" fillId="3" borderId="1" xfId="0" applyFont="1" applyFill="1" applyBorder="1"/>
    <xf numFmtId="0" fontId="1" fillId="3" borderId="0" xfId="0" applyFont="1" applyFill="1"/>
    <xf numFmtId="0" fontId="0" fillId="2" borderId="1" xfId="0" applyFill="1" applyBorder="1"/>
    <xf numFmtId="3" fontId="0" fillId="2" borderId="1" xfId="0" applyNumberFormat="1" applyFill="1" applyBorder="1"/>
    <xf numFmtId="0" fontId="1" fillId="2" borderId="0" xfId="0" applyFont="1" applyFill="1"/>
    <xf numFmtId="0" fontId="0" fillId="4" borderId="0" xfId="0" applyFill="1"/>
    <xf numFmtId="0" fontId="0" fillId="5" borderId="0" xfId="0" applyFill="1"/>
    <xf numFmtId="0" fontId="0" fillId="0" borderId="0" xfId="0" applyAlignment="1">
      <alignment vertical="top" wrapText="1"/>
    </xf>
    <xf numFmtId="0" fontId="0" fillId="2" borderId="0" xfId="0" quotePrefix="1" applyFill="1" applyAlignment="1">
      <alignment horizontal="left" vertical="top"/>
    </xf>
    <xf numFmtId="0" fontId="0" fillId="2" borderId="0" xfId="0" applyFill="1" applyAlignment="1">
      <alignment horizontal="left" vertical="top"/>
    </xf>
    <xf numFmtId="0" fontId="0" fillId="2" borderId="0" xfId="0" applyFill="1" applyAlignment="1">
      <alignment horizontal="left" vertical="top" wrapText="1"/>
    </xf>
    <xf numFmtId="0" fontId="0" fillId="2" borderId="0" xfId="0" quotePrefix="1" applyFill="1" applyAlignment="1">
      <alignment vertical="top" wrapText="1"/>
    </xf>
    <xf numFmtId="0" fontId="0" fillId="2" borderId="0" xfId="0" quotePrefix="1" applyFill="1" applyAlignment="1">
      <alignment vertical="top"/>
    </xf>
    <xf numFmtId="0" fontId="1" fillId="6" borderId="1" xfId="0" applyFont="1" applyFill="1" applyBorder="1"/>
    <xf numFmtId="0" fontId="0" fillId="7" borderId="1" xfId="0" applyFill="1" applyBorder="1"/>
    <xf numFmtId="0" fontId="0" fillId="0" borderId="0" xfId="0" quotePrefix="1"/>
    <xf numFmtId="0" fontId="0" fillId="2" borderId="0" xfId="0" quotePrefix="1" applyFill="1"/>
    <xf numFmtId="0" fontId="0" fillId="0" borderId="0" xfId="0" applyAlignment="1">
      <alignment horizontal="left"/>
    </xf>
    <xf numFmtId="0" fontId="0" fillId="8" borderId="2" xfId="0" applyFill="1" applyBorder="1"/>
    <xf numFmtId="0" fontId="0" fillId="0" borderId="2" xfId="0" applyBorder="1"/>
    <xf numFmtId="0" fontId="5" fillId="0" borderId="0" xfId="0" applyFont="1"/>
    <xf numFmtId="0" fontId="5" fillId="0" borderId="0" xfId="0" quotePrefix="1" applyFont="1"/>
    <xf numFmtId="0" fontId="5" fillId="2" borderId="0" xfId="0" applyFont="1" applyFill="1"/>
    <xf numFmtId="0" fontId="6" fillId="0" borderId="0" xfId="0" applyFont="1" applyAlignment="1">
      <alignment vertical="center"/>
    </xf>
    <xf numFmtId="0" fontId="6" fillId="0" borderId="0" xfId="0" quotePrefix="1" applyFont="1" applyAlignment="1">
      <alignment vertical="center"/>
    </xf>
    <xf numFmtId="0" fontId="0" fillId="0" borderId="0" xfId="0" applyAlignment="1">
      <alignment vertical="center"/>
    </xf>
    <xf numFmtId="0" fontId="0" fillId="0" borderId="3" xfId="0" applyBorder="1"/>
    <xf numFmtId="0" fontId="0" fillId="8" borderId="3" xfId="0" applyFill="1" applyBorder="1"/>
    <xf numFmtId="0" fontId="0" fillId="9" borderId="0" xfId="0" applyFill="1"/>
    <xf numFmtId="0" fontId="0" fillId="9" borderId="0" xfId="0" quotePrefix="1" applyFill="1"/>
    <xf numFmtId="0" fontId="9" fillId="10" borderId="0" xfId="0" applyFont="1" applyFill="1"/>
    <xf numFmtId="0" fontId="0" fillId="0" borderId="0" xfId="0"/>
    <xf numFmtId="0" fontId="0" fillId="0" borderId="0" xfId="0" applyAlignment="1">
      <alignment wrapText="1"/>
    </xf>
    <xf numFmtId="0" fontId="9" fillId="11" borderId="4" xfId="0" applyFont="1" applyFill="1" applyBorder="1"/>
    <xf numFmtId="0" fontId="9" fillId="11" borderId="5" xfId="0" applyFont="1" applyFill="1" applyBorder="1"/>
    <xf numFmtId="0" fontId="0" fillId="7" borderId="6" xfId="0" applyFill="1" applyBorder="1"/>
    <xf numFmtId="0" fontId="10" fillId="12" borderId="0" xfId="0" applyFont="1" applyFill="1" applyBorder="1"/>
    <xf numFmtId="0" fontId="0" fillId="7" borderId="0" xfId="0" applyFill="1"/>
    <xf numFmtId="0" fontId="1" fillId="9" borderId="0" xfId="0" applyFont="1" applyFill="1" applyBorder="1"/>
    <xf numFmtId="0" fontId="0" fillId="2" borderId="0" xfId="0" applyFill="1" applyAlignment="1">
      <alignment horizontal="left" wrapText="1"/>
    </xf>
    <xf numFmtId="0" fontId="0" fillId="2" borderId="0" xfId="0" quotePrefix="1" applyFill="1" applyAlignment="1">
      <alignment horizontal="left" wrapText="1"/>
    </xf>
    <xf numFmtId="0" fontId="1" fillId="2" borderId="0" xfId="0" applyFont="1" applyFill="1" applyAlignment="1">
      <alignment horizontal="center" vertical="top" wrapText="1"/>
    </xf>
    <xf numFmtId="0" fontId="0" fillId="2" borderId="0" xfId="0" applyFill="1" applyAlignment="1">
      <alignment horizontal="left" vertical="top" wrapText="1"/>
    </xf>
    <xf numFmtId="0" fontId="0" fillId="2" borderId="0" xfId="0" applyFill="1" applyAlignment="1">
      <alignment horizontal="left"/>
    </xf>
    <xf numFmtId="0" fontId="1" fillId="2" borderId="0" xfId="0" quotePrefix="1" applyFont="1" applyFill="1" applyAlignment="1">
      <alignment horizontal="left" vertical="top"/>
    </xf>
    <xf numFmtId="0" fontId="0" fillId="2" borderId="0" xfId="0" applyFill="1" applyAlignment="1">
      <alignment horizontal="left" vertical="top"/>
    </xf>
    <xf numFmtId="0" fontId="0" fillId="2" borderId="0" xfId="0" quotePrefix="1" applyFill="1" applyAlignment="1">
      <alignment vertical="top" wrapText="1"/>
    </xf>
    <xf numFmtId="0" fontId="0" fillId="2" borderId="0" xfId="0" applyFill="1" applyAlignment="1">
      <alignment vertical="top" wrapText="1"/>
    </xf>
    <xf numFmtId="0" fontId="4" fillId="0" borderId="0" xfId="0" applyFont="1"/>
    <xf numFmtId="0" fontId="0" fillId="0" borderId="0" xfId="0" applyAlignment="1">
      <alignment horizontal="left"/>
    </xf>
    <xf numFmtId="0" fontId="0" fillId="0" borderId="0" xfId="0"/>
    <xf numFmtId="0" fontId="0" fillId="2" borderId="0" xfId="0" applyFill="1" applyAlignment="1">
      <alignment horizontal="center" vertical="center"/>
    </xf>
    <xf numFmtId="0" fontId="5" fillId="0" borderId="0" xfId="0" applyFont="1"/>
    <xf numFmtId="0" fontId="0" fillId="7" borderId="1" xfId="0" applyFill="1" applyBorder="1" applyAlignment="1">
      <alignment horizontal="left"/>
    </xf>
    <xf numFmtId="0" fontId="0" fillId="7" borderId="1" xfId="0" applyFill="1" applyBorder="1" applyAlignment="1">
      <alignment horizontal="left" wrapText="1"/>
    </xf>
    <xf numFmtId="0" fontId="0" fillId="9" borderId="0" xfId="0" applyFill="1" applyAlignment="1">
      <alignment horizontal="center" vertical="top" wrapText="1"/>
    </xf>
    <xf numFmtId="0" fontId="0" fillId="9" borderId="0" xfId="0" applyFill="1" applyAlignment="1">
      <alignment horizontal="left"/>
    </xf>
    <xf numFmtId="0" fontId="0" fillId="0" borderId="0" xfId="0" applyAlignment="1">
      <alignment horizontal="left" wrapText="1"/>
    </xf>
  </cellXfs>
  <cellStyles count="1">
    <cellStyle name="Normal" xfId="0" builtinId="0"/>
  </cellStyles>
  <dxfs count="3">
    <dxf>
      <numFmt numFmtId="3" formatCode="#,##0"/>
    </dxf>
    <dxf>
      <numFmt numFmtId="3" formatCode="#,##0"/>
    </dxf>
    <dxf>
      <numFmt numFmtId="3" formatCode="#,##0"/>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72D3F-4F92-4519-91E9-7BEF97AE8862}" name="Employee" displayName="Employee" ref="A1:G8" totalsRowShown="0">
  <autoFilter ref="A1:G8" xr:uid="{D6372D3F-4F92-4519-91E9-7BEF97AE8862}"/>
  <tableColumns count="7">
    <tableColumn id="1" xr3:uid="{568048ED-1D09-4F44-A094-EF3A31C3F348}" name="Employee ID"/>
    <tableColumn id="2" xr3:uid="{BD0D493E-5838-4011-AE6E-515BE32315F6}" name="Name"/>
    <tableColumn id="3" xr3:uid="{18C190CE-8A1B-4BB9-AD4F-B6A5E7BBA3C8}" name="Department"/>
    <tableColumn id="4" xr3:uid="{308A7A76-09C5-435E-ADFA-33907383C39B}" name="Region"/>
    <tableColumn id="5" xr3:uid="{AD8B65A2-ADB3-4DD0-B440-86DDDB82A2FB}" name="Base Salary ($)" dataDxfId="2"/>
    <tableColumn id="6" xr3:uid="{6C245290-AF1C-44B3-813B-0289AF0C270F}" name="Sales Target ($)" dataDxfId="1"/>
    <tableColumn id="7" xr3:uid="{947E3B9E-7A59-4548-ABFA-133CC44CDF6B}" name="Actual Sales ($)"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3AFC67-043C-4340-BD6E-D39CEA15D89A}" name="Emp" displayName="Emp" ref="B2:H9" totalsRowShown="0">
  <autoFilter ref="B2:H9" xr:uid="{8D3AFC67-043C-4340-BD6E-D39CEA15D89A}"/>
  <tableColumns count="7">
    <tableColumn id="1" xr3:uid="{B50993F6-FB77-4A8A-BC5B-4886213753F2}" name="Employee ID"/>
    <tableColumn id="2" xr3:uid="{5AEA8BE6-FD17-4CB7-AEFA-D8B4F5D7D756}" name="Name"/>
    <tableColumn id="3" xr3:uid="{867EB44A-3905-4379-87D8-DF0A2ACFE284}" name="Department"/>
    <tableColumn id="4" xr3:uid="{B687CBB0-C873-4569-B69E-D92ACF8B70F9}" name="Region"/>
    <tableColumn id="5" xr3:uid="{C2CAB1F8-10DD-47F8-BCBE-E19828B1D125}" name="Base Salary ($)"/>
    <tableColumn id="6" xr3:uid="{267F6EB3-2329-4A64-81C5-A6B61B243183}" name="Sales Target ($)"/>
    <tableColumn id="7" xr3:uid="{4788F07F-9149-4405-A40A-00A71912329C}" name="Actual Sale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F6007F-7A62-4B8B-AC79-599BC38B907A}" name="Emps" displayName="Emps" ref="L14:P19" totalsRowShown="0">
  <autoFilter ref="L14:P19" xr:uid="{06F6007F-7A62-4B8B-AC79-599BC38B907A}"/>
  <tableColumns count="5">
    <tableColumn id="1" xr3:uid="{78546A61-65CB-4620-A8F7-B46BE6A6F1CA}" name="Employee ID"/>
    <tableColumn id="2" xr3:uid="{240C98DC-C79D-4DFF-AE30-444D7159ABDB}" name="Name"/>
    <tableColumn id="3" xr3:uid="{C5B1621A-D241-4020-BE51-E9DEA5911F29}" name="Department"/>
    <tableColumn id="4" xr3:uid="{C8025285-368E-4ED3-AB45-944A7B5BDD95}" name="Base Salary ($)"/>
    <tableColumn id="5" xr3:uid="{65886639-7F54-471B-BFC3-E2C11CBB71FB}" name="Sales Target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6F0161-BACB-48D1-9D21-C956EB1918B6}" name="Employees" displayName="Employees" ref="A1:G8" totalsRowShown="0">
  <autoFilter ref="A1:G8" xr:uid="{2E6F0161-BACB-48D1-9D21-C956EB1918B6}"/>
  <tableColumns count="7">
    <tableColumn id="1" xr3:uid="{6C3E3C37-49A3-484E-B741-722B901D98D9}" name="Employee ID"/>
    <tableColumn id="2" xr3:uid="{5A4EF45C-789A-44F1-AFA5-F9D05B5179D9}" name="Name"/>
    <tableColumn id="3" xr3:uid="{C227C351-B119-439D-964F-2A94B38356EC}" name="Department"/>
    <tableColumn id="4" xr3:uid="{474A5482-E83F-426B-B373-53C999A465B7}" name="Region"/>
    <tableColumn id="5" xr3:uid="{517DCA03-AD7E-40B2-B92C-718BC4BC48F0}" name="Base Salary ($)"/>
    <tableColumn id="6" xr3:uid="{EE9ABD84-4311-4E37-A329-6B87FA4DD179}" name="Sales Target ($)"/>
    <tableColumn id="7" xr3:uid="{F56F9C0B-6E92-4E70-ABA3-6F9FBB086792}" name="Actual Sales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B568C7-CBD7-4400-8B24-0A84E524C91A}" name="Empl" displayName="Empl" ref="L1:R8" totalsRowShown="0">
  <autoFilter ref="L1:R8" xr:uid="{17B568C7-CBD7-4400-8B24-0A84E524C91A}"/>
  <tableColumns count="7">
    <tableColumn id="1" xr3:uid="{269C7C66-B76B-42C5-8505-6CE074634600}" name="Employee ID"/>
    <tableColumn id="2" xr3:uid="{E855A6FC-10DB-41B5-B0B9-603AD61167B9}" name="Name"/>
    <tableColumn id="3" xr3:uid="{CE1195DF-C365-448F-9A30-E69B6DC65C7E}" name="Department"/>
    <tableColumn id="4" xr3:uid="{FAED5457-3B58-422B-AFA9-30D1DC422D2F}" name="Region"/>
    <tableColumn id="5" xr3:uid="{EC6ED47B-8201-46CC-AF94-35D99DBC78A7}" name="Base Salary ($)"/>
    <tableColumn id="6" xr3:uid="{A7832A06-5EE8-400B-B729-3CFD2FEA7420}" name="Sales Target ($)"/>
    <tableColumn id="7" xr3:uid="{A0ACA8B4-1F76-4297-B011-BD5AF9A143F6}" name="Actual Sal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FDCC-9718-4FBB-AC0A-5A7C248E015A}">
  <dimension ref="A1:AI51"/>
  <sheetViews>
    <sheetView tabSelected="1" topLeftCell="A7" workbookViewId="0">
      <selection activeCell="K15" sqref="K15"/>
    </sheetView>
  </sheetViews>
  <sheetFormatPr defaultRowHeight="15"/>
  <cols>
    <col min="1" max="1" width="12.140625" bestFit="1" customWidth="1"/>
    <col min="2" max="2" width="13.42578125" bestFit="1" customWidth="1"/>
    <col min="3" max="3" width="11.7109375" bestFit="1" customWidth="1"/>
    <col min="4" max="4" width="7.140625" bestFit="1" customWidth="1"/>
    <col min="5" max="5" width="13.85546875" bestFit="1" customWidth="1"/>
    <col min="6" max="7" width="14.5703125" bestFit="1" customWidth="1"/>
    <col min="10" max="10" width="13.85546875" bestFit="1" customWidth="1"/>
    <col min="11" max="11" width="16.7109375" customWidth="1"/>
    <col min="12" max="12" width="14.140625" customWidth="1"/>
    <col min="13" max="13" width="18" bestFit="1" customWidth="1"/>
  </cols>
  <sheetData>
    <row r="1" spans="1:35">
      <c r="A1" s="1" t="s">
        <v>0</v>
      </c>
    </row>
    <row r="3" spans="1:35">
      <c r="A3" s="41" t="s">
        <v>1</v>
      </c>
      <c r="B3" s="41"/>
      <c r="C3" s="41"/>
      <c r="D3" s="41"/>
      <c r="E3" s="41"/>
      <c r="F3" s="41"/>
      <c r="G3" s="41"/>
      <c r="H3" s="41"/>
      <c r="I3" s="41"/>
      <c r="J3" s="41"/>
      <c r="K3" s="41"/>
      <c r="L3" s="41"/>
      <c r="M3" s="41"/>
      <c r="O3" t="e">
        <f>LOOKUP("James Wison",B10:B16,F10:F16)</f>
        <v>#N/A</v>
      </c>
      <c r="P3" t="s">
        <v>2</v>
      </c>
      <c r="Q3" s="44" t="s">
        <v>3</v>
      </c>
      <c r="R3" s="44"/>
      <c r="S3" s="44"/>
      <c r="T3" s="44"/>
      <c r="U3" s="44"/>
      <c r="V3" s="44"/>
      <c r="W3" s="44"/>
      <c r="X3" s="44"/>
      <c r="Y3" s="44"/>
      <c r="Z3" s="44"/>
      <c r="AA3" s="44"/>
      <c r="AB3" s="44"/>
      <c r="AC3" s="44"/>
      <c r="AD3" s="44"/>
      <c r="AE3" s="44"/>
      <c r="AF3" s="44"/>
      <c r="AG3" s="44"/>
      <c r="AH3" s="44"/>
      <c r="AI3" s="44"/>
    </row>
    <row r="4" spans="1:35">
      <c r="A4" s="41"/>
      <c r="B4" s="41"/>
      <c r="C4" s="41"/>
      <c r="D4" s="41"/>
      <c r="E4" s="41"/>
      <c r="F4" s="41"/>
      <c r="G4" s="41"/>
      <c r="H4" s="41"/>
      <c r="I4" s="41"/>
      <c r="J4" s="41"/>
      <c r="K4" s="41"/>
      <c r="L4" s="41"/>
      <c r="M4" s="41"/>
      <c r="Q4" s="44"/>
      <c r="R4" s="44"/>
      <c r="S4" s="44"/>
      <c r="T4" s="44"/>
      <c r="U4" s="44"/>
      <c r="V4" s="44"/>
      <c r="W4" s="44"/>
      <c r="X4" s="44"/>
      <c r="Y4" s="44"/>
      <c r="Z4" s="44"/>
      <c r="AA4" s="44"/>
      <c r="AB4" s="44"/>
      <c r="AC4" s="44"/>
      <c r="AD4" s="44"/>
      <c r="AE4" s="44"/>
      <c r="AF4" s="44"/>
      <c r="AG4" s="44"/>
      <c r="AH4" s="44"/>
      <c r="AI4" s="44"/>
    </row>
    <row r="5" spans="1:35">
      <c r="Q5" s="12"/>
      <c r="R5" s="12"/>
      <c r="S5" s="12"/>
      <c r="T5" s="12"/>
      <c r="U5" s="12"/>
      <c r="V5" s="12"/>
      <c r="W5" s="12"/>
      <c r="X5" s="12"/>
      <c r="Y5" s="12"/>
      <c r="Z5" s="12"/>
      <c r="AA5" s="12"/>
      <c r="AB5" s="12"/>
      <c r="AC5" s="12"/>
      <c r="AD5" s="12"/>
      <c r="AE5" s="12"/>
      <c r="AF5" s="12"/>
      <c r="AG5" s="12"/>
      <c r="AH5" s="12"/>
      <c r="AI5" s="12"/>
    </row>
    <row r="6" spans="1:35">
      <c r="A6" s="42" t="s">
        <v>59</v>
      </c>
      <c r="B6" s="41"/>
      <c r="C6" s="41"/>
      <c r="D6" s="41"/>
      <c r="E6" s="41"/>
      <c r="F6" s="41"/>
      <c r="G6" s="41"/>
      <c r="H6" s="41"/>
      <c r="I6" s="41"/>
      <c r="J6" s="41"/>
      <c r="K6" s="41"/>
      <c r="L6" s="41"/>
      <c r="M6" s="41"/>
      <c r="Q6" s="12"/>
      <c r="R6" s="12"/>
      <c r="S6" s="12"/>
      <c r="T6" s="12"/>
      <c r="U6" s="12"/>
      <c r="V6" s="12"/>
      <c r="W6" s="12"/>
      <c r="X6" s="12"/>
      <c r="Y6" s="12"/>
      <c r="Z6" s="12"/>
      <c r="AA6" s="12"/>
      <c r="AB6" s="12"/>
      <c r="AC6" s="12"/>
      <c r="AD6" s="12"/>
      <c r="AE6" s="12"/>
      <c r="AF6" s="12"/>
      <c r="AG6" s="12"/>
      <c r="AH6" s="12"/>
      <c r="AI6" s="12"/>
    </row>
    <row r="7" spans="1:35">
      <c r="A7" s="42" t="s">
        <v>60</v>
      </c>
      <c r="B7" s="41"/>
      <c r="C7" s="41"/>
      <c r="D7" s="41"/>
      <c r="E7" s="41"/>
      <c r="F7" s="41"/>
      <c r="G7" s="41"/>
      <c r="H7" s="41"/>
      <c r="I7" s="41"/>
      <c r="J7" s="41"/>
      <c r="K7" s="41"/>
      <c r="L7" s="41"/>
      <c r="M7" s="41"/>
      <c r="Q7" s="12"/>
      <c r="R7" s="12"/>
      <c r="S7" s="12"/>
      <c r="T7" s="12"/>
      <c r="U7" s="12"/>
      <c r="V7" s="12"/>
      <c r="W7" s="12"/>
      <c r="X7" s="12"/>
      <c r="Y7" s="12"/>
      <c r="Z7" s="12"/>
      <c r="AA7" s="12"/>
      <c r="AB7" s="12"/>
      <c r="AC7" s="12"/>
      <c r="AD7" s="12"/>
      <c r="AE7" s="12"/>
      <c r="AF7" s="12"/>
      <c r="AG7" s="12"/>
      <c r="AH7" s="12"/>
      <c r="AI7" s="12"/>
    </row>
    <row r="9" spans="1:35">
      <c r="A9" s="2" t="s">
        <v>4</v>
      </c>
      <c r="B9" s="2" t="s">
        <v>5</v>
      </c>
      <c r="C9" s="2" t="s">
        <v>6</v>
      </c>
      <c r="D9" s="2" t="s">
        <v>7</v>
      </c>
      <c r="E9" s="2" t="s">
        <v>8</v>
      </c>
      <c r="F9" s="2" t="s">
        <v>9</v>
      </c>
      <c r="G9" s="2" t="s">
        <v>10</v>
      </c>
      <c r="J9" s="3" t="s">
        <v>0</v>
      </c>
    </row>
    <row r="10" spans="1:35">
      <c r="A10" s="4" t="s">
        <v>11</v>
      </c>
      <c r="B10" s="4" t="s">
        <v>12</v>
      </c>
      <c r="C10" s="4" t="s">
        <v>13</v>
      </c>
      <c r="D10" s="4" t="s">
        <v>14</v>
      </c>
      <c r="E10" s="5">
        <v>92000</v>
      </c>
      <c r="F10" s="5">
        <v>110000</v>
      </c>
      <c r="G10" s="5">
        <v>108000</v>
      </c>
    </row>
    <row r="11" spans="1:35">
      <c r="A11" s="4" t="s">
        <v>15</v>
      </c>
      <c r="B11" s="4" t="s">
        <v>16</v>
      </c>
      <c r="C11" s="4" t="s">
        <v>17</v>
      </c>
      <c r="D11" s="4" t="s">
        <v>18</v>
      </c>
      <c r="E11" s="5">
        <v>62000</v>
      </c>
      <c r="F11" s="5">
        <v>200000</v>
      </c>
      <c r="G11" s="5">
        <v>215000</v>
      </c>
      <c r="J11" s="1" t="s">
        <v>4</v>
      </c>
      <c r="K11" s="1" t="s">
        <v>5</v>
      </c>
    </row>
    <row r="12" spans="1:35">
      <c r="A12" s="4" t="s">
        <v>19</v>
      </c>
      <c r="B12" s="4" t="s">
        <v>20</v>
      </c>
      <c r="C12" s="4" t="s">
        <v>17</v>
      </c>
      <c r="D12" s="4" t="s">
        <v>21</v>
      </c>
      <c r="E12" s="5">
        <v>65000</v>
      </c>
      <c r="F12" s="5">
        <v>220000</v>
      </c>
      <c r="G12" s="5">
        <v>240000</v>
      </c>
      <c r="J12" t="s">
        <v>11</v>
      </c>
      <c r="K12" t="str">
        <f>LOOKUP(J12,A22:A28,B22:B28)</f>
        <v>Marcus Vance</v>
      </c>
      <c r="L12" t="s">
        <v>2</v>
      </c>
      <c r="M12" t="s">
        <v>22</v>
      </c>
    </row>
    <row r="13" spans="1:35">
      <c r="A13" s="4" t="s">
        <v>23</v>
      </c>
      <c r="B13" s="4" t="s">
        <v>24</v>
      </c>
      <c r="C13" s="4" t="s">
        <v>13</v>
      </c>
      <c r="D13" s="4" t="s">
        <v>14</v>
      </c>
      <c r="E13" s="5">
        <v>85000</v>
      </c>
      <c r="F13" s="5">
        <v>120000</v>
      </c>
      <c r="G13" s="5">
        <v>135000</v>
      </c>
    </row>
    <row r="14" spans="1:35">
      <c r="A14" s="4" t="s">
        <v>25</v>
      </c>
      <c r="B14" s="4" t="s">
        <v>26</v>
      </c>
      <c r="C14" s="4" t="s">
        <v>17</v>
      </c>
      <c r="D14" s="4" t="s">
        <v>27</v>
      </c>
      <c r="E14" s="5">
        <v>58000</v>
      </c>
      <c r="F14" s="5">
        <v>180000</v>
      </c>
      <c r="G14" s="5">
        <v>195000</v>
      </c>
      <c r="J14" s="1" t="s">
        <v>5</v>
      </c>
      <c r="K14" s="1" t="s">
        <v>4</v>
      </c>
    </row>
    <row r="15" spans="1:35">
      <c r="A15" s="4" t="s">
        <v>28</v>
      </c>
      <c r="B15" s="4" t="s">
        <v>29</v>
      </c>
      <c r="C15" s="4" t="s">
        <v>30</v>
      </c>
      <c r="D15" s="4" t="s">
        <v>27</v>
      </c>
      <c r="E15" s="5">
        <v>78000</v>
      </c>
      <c r="F15" s="5">
        <v>130000</v>
      </c>
      <c r="G15" s="5">
        <v>130000</v>
      </c>
      <c r="J15" t="s">
        <v>12</v>
      </c>
      <c r="K15" t="str">
        <f>LOOKUP(J15,B10:B16,A10:A16)</f>
        <v>EMP-107</v>
      </c>
      <c r="L15" t="s">
        <v>2</v>
      </c>
      <c r="M15" t="s">
        <v>31</v>
      </c>
    </row>
    <row r="16" spans="1:35">
      <c r="A16" s="4" t="s">
        <v>32</v>
      </c>
      <c r="B16" s="4" t="s">
        <v>33</v>
      </c>
      <c r="C16" s="4" t="s">
        <v>34</v>
      </c>
      <c r="D16" s="4" t="s">
        <v>21</v>
      </c>
      <c r="E16" s="5">
        <v>71000</v>
      </c>
      <c r="F16" s="5">
        <v>150000</v>
      </c>
      <c r="G16" s="5">
        <v>142000</v>
      </c>
    </row>
    <row r="17" spans="1:35" ht="15" customHeight="1">
      <c r="J17" s="1" t="s">
        <v>4</v>
      </c>
      <c r="K17" s="1" t="s">
        <v>5</v>
      </c>
      <c r="L17" s="1" t="s">
        <v>9</v>
      </c>
      <c r="M17" t="s">
        <v>2</v>
      </c>
      <c r="N17" s="41" t="s">
        <v>35</v>
      </c>
      <c r="O17" s="41"/>
      <c r="P17" s="41"/>
      <c r="Q17" s="41"/>
      <c r="R17" s="41"/>
      <c r="S17" s="41"/>
      <c r="T17" s="41"/>
      <c r="U17" s="41"/>
      <c r="V17" s="41"/>
      <c r="W17" s="41"/>
      <c r="X17" s="41"/>
      <c r="Y17" s="41"/>
      <c r="Z17" s="41"/>
      <c r="AA17" s="41"/>
      <c r="AB17" s="41"/>
      <c r="AC17" s="41"/>
      <c r="AD17" s="41"/>
      <c r="AE17" s="41"/>
      <c r="AF17" s="41"/>
      <c r="AG17" s="41"/>
      <c r="AH17" s="41"/>
      <c r="AI17" s="41"/>
    </row>
    <row r="18" spans="1:35" ht="15" customHeight="1">
      <c r="J18" t="s">
        <v>11</v>
      </c>
      <c r="K18" t="str">
        <f>LOOKUP(J18,A10:B16)</f>
        <v>James Wilson</v>
      </c>
      <c r="L18">
        <f>LOOKUP(J18,A10:F16)</f>
        <v>180000</v>
      </c>
      <c r="M18" t="s">
        <v>2</v>
      </c>
      <c r="N18" s="41"/>
      <c r="O18" s="41"/>
      <c r="P18" s="41"/>
      <c r="Q18" s="41"/>
      <c r="R18" s="41"/>
      <c r="S18" s="41"/>
      <c r="T18" s="41"/>
      <c r="U18" s="41"/>
      <c r="V18" s="41"/>
      <c r="W18" s="41"/>
      <c r="X18" s="41"/>
      <c r="Y18" s="41"/>
      <c r="Z18" s="41"/>
      <c r="AA18" s="41"/>
      <c r="AB18" s="41"/>
      <c r="AC18" s="41"/>
      <c r="AD18" s="41"/>
      <c r="AE18" s="41"/>
      <c r="AF18" s="41"/>
      <c r="AG18" s="41"/>
      <c r="AH18" s="41"/>
      <c r="AI18" s="41"/>
    </row>
    <row r="21" spans="1:35">
      <c r="A21" s="2" t="s">
        <v>4</v>
      </c>
      <c r="B21" s="2" t="s">
        <v>5</v>
      </c>
      <c r="C21" s="2" t="s">
        <v>6</v>
      </c>
      <c r="D21" s="2" t="s">
        <v>7</v>
      </c>
      <c r="E21" s="2" t="s">
        <v>8</v>
      </c>
      <c r="F21" s="2" t="s">
        <v>9</v>
      </c>
      <c r="G21" s="2" t="s">
        <v>10</v>
      </c>
      <c r="J21" s="3" t="s">
        <v>0</v>
      </c>
    </row>
    <row r="22" spans="1:35">
      <c r="A22" s="4" t="s">
        <v>23</v>
      </c>
      <c r="B22" s="4" t="s">
        <v>20</v>
      </c>
      <c r="C22" s="4" t="s">
        <v>13</v>
      </c>
      <c r="D22" s="4" t="s">
        <v>21</v>
      </c>
      <c r="E22" s="4">
        <v>58000</v>
      </c>
      <c r="F22" s="4">
        <v>110000</v>
      </c>
      <c r="G22" s="4">
        <v>108000</v>
      </c>
    </row>
    <row r="23" spans="1:35">
      <c r="A23" s="4" t="s">
        <v>15</v>
      </c>
      <c r="B23" s="4" t="s">
        <v>29</v>
      </c>
      <c r="C23" s="4" t="s">
        <v>13</v>
      </c>
      <c r="D23" s="4" t="s">
        <v>21</v>
      </c>
      <c r="E23" s="5">
        <v>62000</v>
      </c>
      <c r="F23" s="5">
        <v>120000</v>
      </c>
      <c r="G23" s="5">
        <v>130000</v>
      </c>
      <c r="J23" s="1" t="s">
        <v>4</v>
      </c>
      <c r="K23" s="1" t="s">
        <v>5</v>
      </c>
      <c r="L23" s="1" t="s">
        <v>6</v>
      </c>
      <c r="N23" s="41" t="s">
        <v>36</v>
      </c>
      <c r="O23" s="41"/>
      <c r="P23" s="41"/>
      <c r="Q23" s="41"/>
      <c r="R23" s="41"/>
      <c r="S23" s="41"/>
      <c r="T23" s="41"/>
      <c r="U23" s="41"/>
      <c r="V23" s="41"/>
      <c r="W23" s="41"/>
      <c r="X23" s="41"/>
      <c r="Y23" s="41"/>
      <c r="Z23" s="41"/>
      <c r="AA23" s="41"/>
      <c r="AB23" s="41"/>
      <c r="AC23" s="41"/>
      <c r="AD23" s="41"/>
      <c r="AE23" s="41"/>
      <c r="AF23" s="41"/>
      <c r="AG23" s="41"/>
      <c r="AH23" s="41"/>
      <c r="AI23" s="41"/>
    </row>
    <row r="24" spans="1:35">
      <c r="A24" s="4" t="s">
        <v>32</v>
      </c>
      <c r="B24" s="4" t="s">
        <v>33</v>
      </c>
      <c r="C24" s="4" t="s">
        <v>30</v>
      </c>
      <c r="D24" s="4" t="s">
        <v>14</v>
      </c>
      <c r="E24" s="5">
        <v>65000</v>
      </c>
      <c r="F24" s="5">
        <v>130000</v>
      </c>
      <c r="G24" s="5">
        <v>135000</v>
      </c>
      <c r="J24" t="s">
        <v>32</v>
      </c>
      <c r="K24" t="str">
        <f>LOOKUP($J$24,$A$22:$A$28,B22:B28)</f>
        <v>Elena Rostova</v>
      </c>
      <c r="L24" t="str">
        <f>LOOKUP($J$24,$A$22:$A$28,C22:C28)</f>
        <v>Finance</v>
      </c>
      <c r="N24" s="41"/>
      <c r="O24" s="41"/>
      <c r="P24" s="41"/>
      <c r="Q24" s="41"/>
      <c r="R24" s="41"/>
      <c r="S24" s="41"/>
      <c r="T24" s="41"/>
      <c r="U24" s="41"/>
      <c r="V24" s="41"/>
      <c r="W24" s="41"/>
      <c r="X24" s="41"/>
      <c r="Y24" s="41"/>
      <c r="Z24" s="41"/>
      <c r="AA24" s="41"/>
      <c r="AB24" s="41"/>
      <c r="AC24" s="41"/>
      <c r="AD24" s="41"/>
      <c r="AE24" s="41"/>
      <c r="AF24" s="41"/>
      <c r="AG24" s="41"/>
      <c r="AH24" s="41"/>
      <c r="AI24" s="41"/>
    </row>
    <row r="25" spans="1:35">
      <c r="A25" s="4" t="s">
        <v>25</v>
      </c>
      <c r="B25" s="4" t="s">
        <v>26</v>
      </c>
      <c r="C25" s="4" t="s">
        <v>34</v>
      </c>
      <c r="D25" s="4" t="s">
        <v>14</v>
      </c>
      <c r="E25" s="5">
        <v>71000</v>
      </c>
      <c r="F25" s="5">
        <v>150000</v>
      </c>
      <c r="G25" s="5">
        <v>142000</v>
      </c>
    </row>
    <row r="26" spans="1:35">
      <c r="A26" s="4" t="s">
        <v>11</v>
      </c>
      <c r="B26" s="4" t="s">
        <v>16</v>
      </c>
      <c r="C26" s="4" t="s">
        <v>17</v>
      </c>
      <c r="D26" s="4" t="s">
        <v>18</v>
      </c>
      <c r="E26" s="5">
        <v>78000</v>
      </c>
      <c r="F26" s="5">
        <v>180000</v>
      </c>
      <c r="G26" s="5">
        <v>195000</v>
      </c>
      <c r="J26" s="1" t="s">
        <v>5</v>
      </c>
      <c r="K26" s="1" t="s">
        <v>4</v>
      </c>
      <c r="L26" s="1" t="s">
        <v>8</v>
      </c>
    </row>
    <row r="27" spans="1:35">
      <c r="A27" s="4" t="s">
        <v>28</v>
      </c>
      <c r="B27" s="4" t="s">
        <v>12</v>
      </c>
      <c r="C27" s="4" t="s">
        <v>17</v>
      </c>
      <c r="D27" s="4" t="s">
        <v>27</v>
      </c>
      <c r="E27" s="5">
        <v>85000</v>
      </c>
      <c r="F27" s="5">
        <v>200000</v>
      </c>
      <c r="G27" s="5">
        <v>215000</v>
      </c>
      <c r="J27" t="s">
        <v>12</v>
      </c>
      <c r="K27" t="str">
        <f>LOOKUP($J$27,$B$22:$B$28,A22:A28)</f>
        <v>EMP-106</v>
      </c>
      <c r="L27">
        <f>LOOKUP(J27,B22:E28)</f>
        <v>85000</v>
      </c>
    </row>
    <row r="28" spans="1:35">
      <c r="A28" s="4" t="s">
        <v>19</v>
      </c>
      <c r="B28" s="4" t="s">
        <v>24</v>
      </c>
      <c r="C28" s="4" t="s">
        <v>17</v>
      </c>
      <c r="D28" s="4" t="s">
        <v>27</v>
      </c>
      <c r="E28" s="5">
        <v>92000</v>
      </c>
      <c r="F28" s="5">
        <v>220000</v>
      </c>
      <c r="G28" s="5">
        <v>240000</v>
      </c>
    </row>
    <row r="29" spans="1:35">
      <c r="J29" s="1" t="s">
        <v>8</v>
      </c>
      <c r="K29" s="1" t="s">
        <v>5</v>
      </c>
    </row>
    <row r="30" spans="1:35">
      <c r="J30">
        <v>85000</v>
      </c>
      <c r="K30" t="e">
        <f>LOOKUP(J30,B22:E28)</f>
        <v>#N/A</v>
      </c>
      <c r="N30" s="45" t="s">
        <v>37</v>
      </c>
      <c r="O30" s="45"/>
      <c r="P30" s="45"/>
      <c r="Q30" s="45"/>
      <c r="R30" s="45"/>
      <c r="S30" s="45"/>
      <c r="T30" s="45"/>
      <c r="U30" s="45"/>
      <c r="V30" s="45"/>
      <c r="W30" s="45"/>
      <c r="X30" s="45"/>
      <c r="Y30" s="45"/>
      <c r="Z30" s="45"/>
      <c r="AA30" s="45"/>
      <c r="AB30" s="45"/>
      <c r="AC30" s="45"/>
      <c r="AD30" s="45"/>
      <c r="AE30" s="45"/>
      <c r="AF30" s="45"/>
      <c r="AG30" s="45"/>
      <c r="AH30" s="45"/>
      <c r="AI30" s="45"/>
    </row>
    <row r="31" spans="1:35" ht="15" customHeight="1">
      <c r="A31" s="43" t="s">
        <v>61</v>
      </c>
      <c r="B31" s="43"/>
      <c r="C31" s="43"/>
      <c r="D31" s="43"/>
      <c r="E31" s="43"/>
      <c r="F31" s="43"/>
      <c r="G31" s="43"/>
      <c r="K31" t="str">
        <f>LOOKUP(J30,E22:E28,B22:B28)</f>
        <v>Priya Wilson</v>
      </c>
      <c r="N31" s="41" t="s">
        <v>38</v>
      </c>
      <c r="O31" s="41"/>
      <c r="P31" s="41"/>
      <c r="Q31" s="41"/>
      <c r="R31" s="41"/>
      <c r="S31" s="41"/>
      <c r="T31" s="41"/>
      <c r="U31" s="41"/>
      <c r="V31" s="41"/>
      <c r="W31" s="41"/>
      <c r="X31" s="41"/>
      <c r="Y31" s="41"/>
      <c r="Z31" s="41"/>
      <c r="AA31" s="41"/>
      <c r="AB31" s="41"/>
      <c r="AC31" s="41"/>
      <c r="AD31" s="41"/>
      <c r="AE31" s="41"/>
      <c r="AF31" s="41"/>
      <c r="AG31" s="41"/>
      <c r="AH31" s="41"/>
      <c r="AI31" s="41"/>
    </row>
    <row r="32" spans="1:35">
      <c r="A32" s="43"/>
      <c r="B32" s="43"/>
      <c r="C32" s="43"/>
      <c r="D32" s="43"/>
      <c r="E32" s="43"/>
      <c r="F32" s="43"/>
      <c r="G32" s="43"/>
      <c r="J32">
        <v>86000</v>
      </c>
      <c r="K32" t="str">
        <f>LOOKUP(J32,E22:E28,B22:B28)</f>
        <v>Priya Wilson</v>
      </c>
    </row>
    <row r="33" spans="1:7">
      <c r="A33" s="43"/>
      <c r="B33" s="43"/>
      <c r="C33" s="43"/>
      <c r="D33" s="43"/>
      <c r="E33" s="43"/>
      <c r="F33" s="43"/>
      <c r="G33" s="43"/>
    </row>
    <row r="34" spans="1:7">
      <c r="A34" s="43"/>
      <c r="B34" s="43"/>
      <c r="C34" s="43"/>
      <c r="D34" s="43"/>
      <c r="E34" s="43"/>
      <c r="F34" s="43"/>
      <c r="G34" s="43"/>
    </row>
    <row r="35" spans="1:7">
      <c r="A35" s="43"/>
      <c r="B35" s="43"/>
      <c r="C35" s="43"/>
      <c r="D35" s="43"/>
      <c r="E35" s="43"/>
      <c r="F35" s="43"/>
      <c r="G35" s="43"/>
    </row>
    <row r="36" spans="1:7">
      <c r="A36" s="43"/>
      <c r="B36" s="43"/>
      <c r="C36" s="43"/>
      <c r="D36" s="43"/>
      <c r="E36" s="43"/>
      <c r="F36" s="43"/>
      <c r="G36" s="43"/>
    </row>
    <row r="37" spans="1:7">
      <c r="A37" s="43"/>
      <c r="B37" s="43"/>
      <c r="C37" s="43"/>
      <c r="D37" s="43"/>
      <c r="E37" s="43"/>
      <c r="F37" s="43"/>
      <c r="G37" s="43"/>
    </row>
    <row r="38" spans="1:7">
      <c r="A38" s="43"/>
      <c r="B38" s="43"/>
      <c r="C38" s="43"/>
      <c r="D38" s="43"/>
      <c r="E38" s="43"/>
      <c r="F38" s="43"/>
      <c r="G38" s="43"/>
    </row>
    <row r="39" spans="1:7">
      <c r="A39" s="43"/>
      <c r="B39" s="43"/>
      <c r="C39" s="43"/>
      <c r="D39" s="43"/>
      <c r="E39" s="43"/>
      <c r="F39" s="43"/>
      <c r="G39" s="43"/>
    </row>
    <row r="40" spans="1:7">
      <c r="A40" s="43"/>
      <c r="B40" s="43"/>
      <c r="C40" s="43"/>
      <c r="D40" s="43"/>
      <c r="E40" s="43"/>
      <c r="F40" s="43"/>
      <c r="G40" s="43"/>
    </row>
    <row r="41" spans="1:7">
      <c r="A41" s="43"/>
      <c r="B41" s="43"/>
      <c r="C41" s="43"/>
      <c r="D41" s="43"/>
      <c r="E41" s="43"/>
      <c r="F41" s="43"/>
      <c r="G41" s="43"/>
    </row>
    <row r="42" spans="1:7">
      <c r="A42" s="43"/>
      <c r="B42" s="43"/>
      <c r="C42" s="43"/>
      <c r="D42" s="43"/>
      <c r="E42" s="43"/>
      <c r="F42" s="43"/>
      <c r="G42" s="43"/>
    </row>
    <row r="43" spans="1:7">
      <c r="A43" s="43"/>
      <c r="B43" s="43"/>
      <c r="C43" s="43"/>
      <c r="D43" s="43"/>
      <c r="E43" s="43"/>
      <c r="F43" s="43"/>
      <c r="G43" s="43"/>
    </row>
    <row r="44" spans="1:7">
      <c r="A44" s="43"/>
      <c r="B44" s="43"/>
      <c r="C44" s="43"/>
      <c r="D44" s="43"/>
      <c r="E44" s="43"/>
      <c r="F44" s="43"/>
      <c r="G44" s="43"/>
    </row>
    <row r="45" spans="1:7">
      <c r="A45" s="43"/>
      <c r="B45" s="43"/>
      <c r="C45" s="43"/>
      <c r="D45" s="43"/>
      <c r="E45" s="43"/>
      <c r="F45" s="43"/>
      <c r="G45" s="43"/>
    </row>
    <row r="46" spans="1:7">
      <c r="A46" s="43"/>
      <c r="B46" s="43"/>
      <c r="C46" s="43"/>
      <c r="D46" s="43"/>
      <c r="E46" s="43"/>
      <c r="F46" s="43"/>
      <c r="G46" s="43"/>
    </row>
    <row r="47" spans="1:7">
      <c r="A47" s="43"/>
      <c r="B47" s="43"/>
      <c r="C47" s="43"/>
      <c r="D47" s="43"/>
      <c r="E47" s="43"/>
      <c r="F47" s="43"/>
      <c r="G47" s="43"/>
    </row>
    <row r="48" spans="1:7">
      <c r="A48" s="43"/>
      <c r="B48" s="43"/>
      <c r="C48" s="43"/>
      <c r="D48" s="43"/>
      <c r="E48" s="43"/>
      <c r="F48" s="43"/>
      <c r="G48" s="43"/>
    </row>
    <row r="49" spans="1:7">
      <c r="A49" s="43"/>
      <c r="B49" s="43"/>
      <c r="C49" s="43"/>
      <c r="D49" s="43"/>
      <c r="E49" s="43"/>
      <c r="F49" s="43"/>
      <c r="G49" s="43"/>
    </row>
    <row r="50" spans="1:7">
      <c r="A50" s="43"/>
      <c r="B50" s="43"/>
      <c r="C50" s="43"/>
      <c r="D50" s="43"/>
      <c r="E50" s="43"/>
      <c r="F50" s="43"/>
      <c r="G50" s="43"/>
    </row>
    <row r="51" spans="1:7">
      <c r="A51" s="43"/>
      <c r="B51" s="43"/>
      <c r="C51" s="43"/>
      <c r="D51" s="43"/>
      <c r="E51" s="43"/>
      <c r="F51" s="43"/>
      <c r="G51" s="43"/>
    </row>
  </sheetData>
  <mergeCells count="9">
    <mergeCell ref="N31:AI31"/>
    <mergeCell ref="A6:M6"/>
    <mergeCell ref="A7:M7"/>
    <mergeCell ref="A31:G51"/>
    <mergeCell ref="A3:M4"/>
    <mergeCell ref="Q3:AI4"/>
    <mergeCell ref="N17:AI18"/>
    <mergeCell ref="N23:AI24"/>
    <mergeCell ref="N30:AI30"/>
  </mergeCells>
  <dataValidations count="2">
    <dataValidation type="list" allowBlank="1" showInputMessage="1" showErrorMessage="1" sqref="J15 J27" xr:uid="{A5A93CE7-45B8-4D48-800A-CF5D3C680F72}">
      <formula1>$B$10:$B$16</formula1>
    </dataValidation>
    <dataValidation type="list" allowBlank="1" showInputMessage="1" showErrorMessage="1" sqref="J12 J24 J18" xr:uid="{68052A19-9C67-4236-BA2F-E2506F0A1630}">
      <formula1>$A$10:$A$16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C3D1-06F0-4580-BBC3-77094C3CE53A}">
  <dimension ref="A1:R20"/>
  <sheetViews>
    <sheetView workbookViewId="0">
      <selection activeCell="H29" sqref="H29"/>
    </sheetView>
  </sheetViews>
  <sheetFormatPr defaultRowHeight="15"/>
  <cols>
    <col min="1" max="1" width="14.5703125" bestFit="1" customWidth="1"/>
    <col min="2" max="2" width="13.42578125" bestFit="1" customWidth="1"/>
    <col min="3" max="3" width="14" bestFit="1" customWidth="1"/>
    <col min="4" max="4" width="13.42578125" bestFit="1" customWidth="1"/>
    <col min="5" max="5" width="16.140625" bestFit="1" customWidth="1"/>
    <col min="6" max="7" width="16.85546875" bestFit="1" customWidth="1"/>
    <col min="8" max="8" width="10.85546875" bestFit="1" customWidth="1"/>
    <col min="9" max="9" width="24.140625" bestFit="1" customWidth="1"/>
    <col min="10" max="10" width="14.85546875" bestFit="1" customWidth="1"/>
    <col min="11" max="11" width="11.85546875" bestFit="1" customWidth="1"/>
    <col min="12" max="12" width="11.85546875" customWidth="1"/>
    <col min="13" max="13" width="19" customWidth="1"/>
    <col min="14" max="14" width="14.85546875" bestFit="1" customWidth="1"/>
  </cols>
  <sheetData>
    <row r="1" spans="1:18">
      <c r="A1" t="s">
        <v>4</v>
      </c>
      <c r="B1" t="s">
        <v>5</v>
      </c>
      <c r="C1" t="s">
        <v>6</v>
      </c>
      <c r="D1" t="s">
        <v>7</v>
      </c>
      <c r="E1" t="s">
        <v>8</v>
      </c>
      <c r="F1" t="s">
        <v>9</v>
      </c>
      <c r="G1" t="s">
        <v>10</v>
      </c>
      <c r="I1" s="6" t="s">
        <v>40</v>
      </c>
      <c r="J1" s="6" t="s">
        <v>41</v>
      </c>
      <c r="M1" s="6" t="s">
        <v>40</v>
      </c>
      <c r="N1" s="6" t="s">
        <v>41</v>
      </c>
    </row>
    <row r="2" spans="1:18">
      <c r="A2" t="s">
        <v>23</v>
      </c>
      <c r="B2" t="s">
        <v>20</v>
      </c>
      <c r="C2" t="s">
        <v>13</v>
      </c>
      <c r="D2" t="s">
        <v>21</v>
      </c>
      <c r="E2">
        <v>58000</v>
      </c>
      <c r="F2">
        <v>110000</v>
      </c>
      <c r="G2">
        <v>108000</v>
      </c>
      <c r="I2">
        <v>100000</v>
      </c>
      <c r="J2" t="s">
        <v>42</v>
      </c>
      <c r="M2">
        <v>0</v>
      </c>
      <c r="N2" t="s">
        <v>45</v>
      </c>
    </row>
    <row r="3" spans="1:18">
      <c r="A3" t="s">
        <v>15</v>
      </c>
      <c r="B3" t="s">
        <v>29</v>
      </c>
      <c r="C3" t="s">
        <v>13</v>
      </c>
      <c r="D3" t="s">
        <v>21</v>
      </c>
      <c r="E3">
        <v>62000</v>
      </c>
      <c r="F3">
        <v>120000</v>
      </c>
      <c r="G3">
        <v>130000</v>
      </c>
      <c r="I3">
        <v>150000</v>
      </c>
      <c r="J3" t="s">
        <v>43</v>
      </c>
      <c r="M3">
        <v>100000</v>
      </c>
      <c r="N3" t="s">
        <v>42</v>
      </c>
    </row>
    <row r="4" spans="1:18">
      <c r="A4" t="s">
        <v>32</v>
      </c>
      <c r="B4" t="s">
        <v>33</v>
      </c>
      <c r="C4" t="s">
        <v>30</v>
      </c>
      <c r="D4" t="s">
        <v>14</v>
      </c>
      <c r="E4">
        <v>65000</v>
      </c>
      <c r="F4">
        <v>130000</v>
      </c>
      <c r="G4">
        <v>135000</v>
      </c>
      <c r="I4">
        <v>200000</v>
      </c>
      <c r="J4" t="s">
        <v>44</v>
      </c>
      <c r="M4">
        <v>150000</v>
      </c>
      <c r="N4" t="s">
        <v>43</v>
      </c>
    </row>
    <row r="5" spans="1:18">
      <c r="A5" t="s">
        <v>25</v>
      </c>
      <c r="B5" t="s">
        <v>26</v>
      </c>
      <c r="C5" t="s">
        <v>34</v>
      </c>
      <c r="D5" t="s">
        <v>14</v>
      </c>
      <c r="E5">
        <v>71000</v>
      </c>
      <c r="F5">
        <v>150000</v>
      </c>
      <c r="G5">
        <v>142000</v>
      </c>
      <c r="M5">
        <v>200000</v>
      </c>
      <c r="N5" t="s">
        <v>44</v>
      </c>
    </row>
    <row r="6" spans="1:18">
      <c r="A6" t="s">
        <v>11</v>
      </c>
      <c r="B6" t="s">
        <v>16</v>
      </c>
      <c r="C6" t="s">
        <v>17</v>
      </c>
      <c r="D6" t="s">
        <v>18</v>
      </c>
      <c r="E6">
        <v>78000</v>
      </c>
      <c r="F6">
        <v>180000</v>
      </c>
      <c r="G6">
        <v>195000</v>
      </c>
      <c r="I6" s="6" t="s">
        <v>4</v>
      </c>
      <c r="J6" s="6" t="s">
        <v>9</v>
      </c>
      <c r="K6" s="6" t="s">
        <v>41</v>
      </c>
    </row>
    <row r="7" spans="1:18">
      <c r="A7" t="s">
        <v>28</v>
      </c>
      <c r="B7" t="s">
        <v>39</v>
      </c>
      <c r="C7" t="s">
        <v>17</v>
      </c>
      <c r="D7" t="s">
        <v>27</v>
      </c>
      <c r="E7">
        <v>85000</v>
      </c>
      <c r="F7">
        <v>200000</v>
      </c>
      <c r="G7">
        <v>215000</v>
      </c>
      <c r="I7" t="s">
        <v>19</v>
      </c>
      <c r="J7">
        <f>LOOKUP(I7,Employee[Employee ID],Employee[Sales Target ($)])</f>
        <v>220000</v>
      </c>
      <c r="K7" t="str">
        <f>LOOKUP(J7,$I$2:$J$4)</f>
        <v>Gold Bonus</v>
      </c>
      <c r="M7" s="6" t="s">
        <v>9</v>
      </c>
      <c r="N7" s="6" t="s">
        <v>41</v>
      </c>
    </row>
    <row r="8" spans="1:18">
      <c r="A8" t="s">
        <v>19</v>
      </c>
      <c r="B8" t="s">
        <v>24</v>
      </c>
      <c r="C8" t="s">
        <v>17</v>
      </c>
      <c r="D8" t="s">
        <v>27</v>
      </c>
      <c r="E8">
        <v>92000</v>
      </c>
      <c r="F8">
        <v>220000</v>
      </c>
      <c r="G8">
        <v>240000</v>
      </c>
      <c r="J8">
        <v>99999</v>
      </c>
      <c r="K8" t="e">
        <f>LOOKUP(J8,$I$2:$J$4)</f>
        <v>#N/A</v>
      </c>
      <c r="M8">
        <v>99999</v>
      </c>
      <c r="N8" t="str">
        <f>LOOKUP(M8,M2:N5)</f>
        <v>No Bonus</v>
      </c>
    </row>
    <row r="10" spans="1:18" ht="15" customHeight="1">
      <c r="I10" s="41" t="s">
        <v>46</v>
      </c>
      <c r="J10" s="41"/>
      <c r="K10" s="41"/>
      <c r="L10" s="41"/>
      <c r="M10" s="41"/>
      <c r="N10" s="41"/>
    </row>
    <row r="11" spans="1:18">
      <c r="I11" s="41"/>
      <c r="J11" s="41"/>
      <c r="K11" s="41"/>
      <c r="L11" s="41"/>
      <c r="M11" s="41"/>
      <c r="N11" s="41"/>
    </row>
    <row r="12" spans="1:18">
      <c r="I12" s="41"/>
      <c r="J12" s="41"/>
      <c r="K12" s="41"/>
      <c r="L12" s="41"/>
      <c r="M12" s="41"/>
      <c r="N12" s="41"/>
    </row>
    <row r="14" spans="1:18">
      <c r="A14" s="7" t="s">
        <v>4</v>
      </c>
      <c r="B14" s="8" t="s">
        <v>23</v>
      </c>
      <c r="C14" s="8" t="s">
        <v>15</v>
      </c>
      <c r="D14" s="8" t="s">
        <v>32</v>
      </c>
      <c r="E14" s="8" t="s">
        <v>25</v>
      </c>
      <c r="F14" s="8" t="s">
        <v>11</v>
      </c>
      <c r="G14" s="8" t="s">
        <v>28</v>
      </c>
      <c r="H14" s="8" t="s">
        <v>19</v>
      </c>
      <c r="J14" s="6" t="s">
        <v>4</v>
      </c>
      <c r="K14" s="6" t="s">
        <v>9</v>
      </c>
      <c r="L14" s="6" t="s">
        <v>41</v>
      </c>
      <c r="N14" s="6" t="s">
        <v>40</v>
      </c>
      <c r="O14">
        <v>0</v>
      </c>
      <c r="P14">
        <v>100000</v>
      </c>
      <c r="Q14">
        <v>150000</v>
      </c>
      <c r="R14">
        <v>200000</v>
      </c>
    </row>
    <row r="15" spans="1:18">
      <c r="A15" s="7" t="s">
        <v>5</v>
      </c>
      <c r="B15" s="8" t="s">
        <v>20</v>
      </c>
      <c r="C15" s="8" t="s">
        <v>29</v>
      </c>
      <c r="D15" s="8" t="s">
        <v>33</v>
      </c>
      <c r="E15" s="8" t="s">
        <v>26</v>
      </c>
      <c r="F15" s="8" t="s">
        <v>16</v>
      </c>
      <c r="G15" s="8" t="s">
        <v>39</v>
      </c>
      <c r="H15" s="8" t="s">
        <v>24</v>
      </c>
      <c r="J15" t="s">
        <v>19</v>
      </c>
      <c r="K15">
        <f>LOOKUP(J15,B14:H14,B19:H19)</f>
        <v>220000</v>
      </c>
      <c r="L15" t="str">
        <f>LOOKUP(K15,$I$2:$J$4)</f>
        <v>Gold Bonus</v>
      </c>
      <c r="N15" s="6" t="s">
        <v>41</v>
      </c>
      <c r="O15" t="s">
        <v>45</v>
      </c>
      <c r="P15" t="s">
        <v>42</v>
      </c>
      <c r="Q15" t="s">
        <v>43</v>
      </c>
      <c r="R15" t="s">
        <v>44</v>
      </c>
    </row>
    <row r="16" spans="1:18">
      <c r="A16" s="7" t="s">
        <v>6</v>
      </c>
      <c r="B16" s="8" t="s">
        <v>13</v>
      </c>
      <c r="C16" s="8" t="s">
        <v>13</v>
      </c>
      <c r="D16" s="8" t="s">
        <v>30</v>
      </c>
      <c r="E16" s="8" t="s">
        <v>34</v>
      </c>
      <c r="F16" s="8" t="s">
        <v>17</v>
      </c>
      <c r="G16" s="8" t="s">
        <v>17</v>
      </c>
      <c r="H16" s="8" t="s">
        <v>17</v>
      </c>
      <c r="K16">
        <v>99999</v>
      </c>
      <c r="L16" t="str">
        <f>LOOKUP(K16,O14:R15)</f>
        <v>No Bonus</v>
      </c>
    </row>
    <row r="17" spans="1:8">
      <c r="A17" s="7" t="s">
        <v>7</v>
      </c>
      <c r="B17" s="8" t="s">
        <v>21</v>
      </c>
      <c r="C17" s="8" t="s">
        <v>21</v>
      </c>
      <c r="D17" s="8" t="s">
        <v>14</v>
      </c>
      <c r="E17" s="8" t="s">
        <v>14</v>
      </c>
      <c r="F17" s="8" t="s">
        <v>18</v>
      </c>
      <c r="G17" s="8" t="s">
        <v>27</v>
      </c>
      <c r="H17" s="8" t="s">
        <v>27</v>
      </c>
    </row>
    <row r="18" spans="1:8">
      <c r="A18" s="7" t="s">
        <v>8</v>
      </c>
      <c r="B18" s="8">
        <v>58000</v>
      </c>
      <c r="C18" s="8">
        <v>62000</v>
      </c>
      <c r="D18" s="8">
        <v>65000</v>
      </c>
      <c r="E18" s="8">
        <v>71000</v>
      </c>
      <c r="F18" s="8">
        <v>78000</v>
      </c>
      <c r="G18" s="8">
        <v>85000</v>
      </c>
      <c r="H18" s="8">
        <v>92000</v>
      </c>
    </row>
    <row r="19" spans="1:8">
      <c r="A19" s="7" t="s">
        <v>9</v>
      </c>
      <c r="B19" s="8">
        <v>110000</v>
      </c>
      <c r="C19" s="8">
        <v>120000</v>
      </c>
      <c r="D19" s="8">
        <v>130000</v>
      </c>
      <c r="E19" s="8">
        <v>150000</v>
      </c>
      <c r="F19" s="8">
        <v>180000</v>
      </c>
      <c r="G19" s="8">
        <v>200000</v>
      </c>
      <c r="H19" s="8">
        <v>220000</v>
      </c>
    </row>
    <row r="20" spans="1:8">
      <c r="A20" s="7" t="s">
        <v>10</v>
      </c>
      <c r="B20" s="8">
        <v>108000</v>
      </c>
      <c r="C20" s="8">
        <v>130000</v>
      </c>
      <c r="D20" s="8">
        <v>135000</v>
      </c>
      <c r="E20" s="8">
        <v>142000</v>
      </c>
      <c r="F20" s="8">
        <v>195000</v>
      </c>
      <c r="G20" s="8">
        <v>215000</v>
      </c>
      <c r="H20" s="8">
        <v>240000</v>
      </c>
    </row>
  </sheetData>
  <mergeCells count="1">
    <mergeCell ref="I10:N12"/>
  </mergeCells>
  <dataValidations count="1">
    <dataValidation type="list" allowBlank="1" showInputMessage="1" showErrorMessage="1" sqref="I7 J15" xr:uid="{B52C1C7C-CEFF-4911-ACC0-D37896DD4AE4}">
      <formula1>$A$2:$A$8</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C062-9AC7-48B1-A41C-503BC5A7CA7F}">
  <dimension ref="A1:N22"/>
  <sheetViews>
    <sheetView workbookViewId="0">
      <selection activeCell="B6" sqref="B6:M6"/>
    </sheetView>
  </sheetViews>
  <sheetFormatPr defaultRowHeight="15"/>
  <cols>
    <col min="1" max="1" width="14.7109375" bestFit="1" customWidth="1"/>
    <col min="13" max="13" width="15.7109375" customWidth="1"/>
  </cols>
  <sheetData>
    <row r="1" spans="1:14">
      <c r="A1" s="1" t="s">
        <v>47</v>
      </c>
    </row>
    <row r="3" spans="1:14">
      <c r="A3" s="46" t="s">
        <v>53</v>
      </c>
      <c r="B3" s="47"/>
      <c r="C3" s="47"/>
      <c r="D3" s="47"/>
      <c r="E3" s="47"/>
      <c r="F3" s="47"/>
      <c r="G3" s="47"/>
      <c r="H3" s="47"/>
      <c r="I3" s="47"/>
      <c r="J3" s="47"/>
      <c r="K3" s="47"/>
      <c r="L3" s="47"/>
      <c r="M3" s="47"/>
    </row>
    <row r="4" spans="1:14">
      <c r="A4" s="10" t="s">
        <v>54</v>
      </c>
      <c r="B4" s="11"/>
      <c r="C4" s="11"/>
      <c r="D4" s="11"/>
      <c r="E4" s="11"/>
      <c r="F4" s="11"/>
      <c r="G4" s="11"/>
      <c r="H4" s="11"/>
      <c r="I4" s="11"/>
      <c r="J4" s="11"/>
      <c r="K4" s="11"/>
      <c r="L4" s="11"/>
      <c r="M4" s="11"/>
    </row>
    <row r="5" spans="1:14">
      <c r="A5" s="10" t="s">
        <v>55</v>
      </c>
      <c r="B5" s="11"/>
      <c r="C5" s="11"/>
      <c r="D5" s="11"/>
      <c r="E5" s="11"/>
      <c r="F5" s="11"/>
      <c r="G5" s="11"/>
      <c r="H5" s="11"/>
      <c r="I5" s="11"/>
      <c r="J5" s="11"/>
      <c r="K5" s="11"/>
      <c r="L5" s="11"/>
      <c r="M5" s="11"/>
    </row>
    <row r="6" spans="1:14">
      <c r="A6" s="10" t="s">
        <v>56</v>
      </c>
      <c r="B6" s="47" t="s">
        <v>66</v>
      </c>
      <c r="C6" s="47"/>
      <c r="D6" s="47"/>
      <c r="E6" s="47"/>
      <c r="F6" s="47"/>
      <c r="G6" s="47"/>
      <c r="H6" s="47"/>
      <c r="I6" s="47"/>
      <c r="J6" s="47"/>
      <c r="K6" s="47"/>
      <c r="L6" s="47"/>
      <c r="M6" s="47"/>
    </row>
    <row r="7" spans="1:14">
      <c r="A7" s="10" t="s">
        <v>57</v>
      </c>
      <c r="B7" s="47" t="s">
        <v>58</v>
      </c>
      <c r="C7" s="47"/>
      <c r="D7" s="47"/>
      <c r="E7" s="47"/>
      <c r="F7" s="47"/>
      <c r="G7" s="47"/>
      <c r="H7" s="47"/>
      <c r="I7" s="47"/>
      <c r="J7" s="47"/>
      <c r="K7" s="47"/>
      <c r="L7" s="47"/>
      <c r="M7" s="47"/>
    </row>
    <row r="9" spans="1:14" ht="15" customHeight="1">
      <c r="A9" s="44" t="s">
        <v>48</v>
      </c>
      <c r="B9" s="44"/>
      <c r="C9" s="44"/>
      <c r="D9" s="44"/>
      <c r="E9" s="44"/>
      <c r="F9" s="44"/>
      <c r="G9" s="44"/>
      <c r="H9" s="44"/>
      <c r="I9" s="44"/>
      <c r="J9" s="44"/>
      <c r="K9" s="44"/>
      <c r="L9" s="44"/>
      <c r="M9" s="44"/>
      <c r="N9" s="9"/>
    </row>
    <row r="10" spans="1:14">
      <c r="A10" s="44"/>
      <c r="B10" s="44"/>
      <c r="C10" s="44"/>
      <c r="D10" s="44"/>
      <c r="E10" s="44"/>
      <c r="F10" s="44"/>
      <c r="G10" s="44"/>
      <c r="H10" s="44"/>
      <c r="I10" s="44"/>
      <c r="J10" s="44"/>
      <c r="K10" s="44"/>
      <c r="L10" s="44"/>
      <c r="M10" s="44"/>
      <c r="N10" s="9"/>
    </row>
    <row r="11" spans="1:14">
      <c r="A11" s="9"/>
      <c r="B11" s="9"/>
      <c r="C11" s="9"/>
      <c r="D11" s="9"/>
      <c r="E11" s="9"/>
      <c r="F11" s="9"/>
      <c r="G11" s="9"/>
      <c r="H11" s="9"/>
      <c r="I11" s="9"/>
      <c r="J11" s="9"/>
      <c r="K11" s="9"/>
      <c r="L11" s="9"/>
      <c r="M11" s="9"/>
      <c r="N11" s="9"/>
    </row>
    <row r="12" spans="1:14">
      <c r="A12" s="44" t="s">
        <v>49</v>
      </c>
      <c r="B12" s="44"/>
      <c r="C12" s="44"/>
      <c r="D12" s="44"/>
      <c r="E12" s="44"/>
      <c r="F12" s="44"/>
      <c r="G12" s="44"/>
      <c r="H12" s="44"/>
      <c r="I12" s="44"/>
      <c r="J12" s="44"/>
      <c r="K12" s="44"/>
      <c r="L12" s="44"/>
      <c r="M12" s="44"/>
      <c r="N12" s="9"/>
    </row>
    <row r="14" spans="1:14" ht="15" customHeight="1">
      <c r="A14" s="44" t="s">
        <v>50</v>
      </c>
      <c r="B14" s="44"/>
      <c r="C14" s="44"/>
      <c r="D14" s="44"/>
      <c r="E14" s="44"/>
      <c r="F14" s="44"/>
      <c r="G14" s="44"/>
      <c r="H14" s="44"/>
      <c r="I14" s="44"/>
      <c r="J14" s="44"/>
      <c r="K14" s="44"/>
      <c r="L14" s="44"/>
      <c r="M14" s="44"/>
    </row>
    <row r="15" spans="1:14">
      <c r="A15" s="44"/>
      <c r="B15" s="44"/>
      <c r="C15" s="44"/>
      <c r="D15" s="44"/>
      <c r="E15" s="44"/>
      <c r="F15" s="44"/>
      <c r="G15" s="44"/>
      <c r="H15" s="44"/>
      <c r="I15" s="44"/>
      <c r="J15" s="44"/>
      <c r="K15" s="44"/>
      <c r="L15" s="44"/>
      <c r="M15" s="44"/>
    </row>
    <row r="16" spans="1:14">
      <c r="A16" s="44"/>
      <c r="B16" s="44"/>
      <c r="C16" s="44"/>
      <c r="D16" s="44"/>
      <c r="E16" s="44"/>
      <c r="F16" s="44"/>
      <c r="G16" s="44"/>
      <c r="H16" s="44"/>
      <c r="I16" s="44"/>
      <c r="J16" s="44"/>
      <c r="K16" s="44"/>
      <c r="L16" s="44"/>
      <c r="M16" s="44"/>
    </row>
    <row r="18" spans="1:13">
      <c r="A18" s="44" t="s">
        <v>51</v>
      </c>
      <c r="B18" s="44"/>
      <c r="C18" s="44"/>
      <c r="D18" s="44"/>
      <c r="E18" s="44"/>
      <c r="F18" s="44"/>
      <c r="G18" s="44"/>
      <c r="H18" s="44"/>
      <c r="I18" s="44"/>
      <c r="J18" s="44"/>
      <c r="K18" s="44"/>
      <c r="L18" s="44"/>
      <c r="M18" s="44"/>
    </row>
    <row r="19" spans="1:13">
      <c r="A19" s="44"/>
      <c r="B19" s="44"/>
      <c r="C19" s="44"/>
      <c r="D19" s="44"/>
      <c r="E19" s="44"/>
      <c r="F19" s="44"/>
      <c r="G19" s="44"/>
      <c r="H19" s="44"/>
      <c r="I19" s="44"/>
      <c r="J19" s="44"/>
      <c r="K19" s="44"/>
      <c r="L19" s="44"/>
      <c r="M19" s="44"/>
    </row>
    <row r="21" spans="1:13">
      <c r="A21" s="44" t="s">
        <v>52</v>
      </c>
      <c r="B21" s="44"/>
      <c r="C21" s="44"/>
      <c r="D21" s="44"/>
      <c r="E21" s="44"/>
      <c r="F21" s="44"/>
      <c r="G21" s="44"/>
      <c r="H21" s="44"/>
      <c r="I21" s="44"/>
      <c r="J21" s="44"/>
      <c r="K21" s="44"/>
      <c r="L21" s="44"/>
      <c r="M21" s="44"/>
    </row>
    <row r="22" spans="1:13">
      <c r="A22" s="44"/>
      <c r="B22" s="44"/>
      <c r="C22" s="44"/>
      <c r="D22" s="44"/>
      <c r="E22" s="44"/>
      <c r="F22" s="44"/>
      <c r="G22" s="44"/>
      <c r="H22" s="44"/>
      <c r="I22" s="44"/>
      <c r="J22" s="44"/>
      <c r="K22" s="44"/>
      <c r="L22" s="44"/>
      <c r="M22" s="44"/>
    </row>
  </sheetData>
  <mergeCells count="8">
    <mergeCell ref="A21:M22"/>
    <mergeCell ref="A3:M3"/>
    <mergeCell ref="B6:M6"/>
    <mergeCell ref="B7:M7"/>
    <mergeCell ref="A9:M10"/>
    <mergeCell ref="A12:M12"/>
    <mergeCell ref="A14:M16"/>
    <mergeCell ref="A18:M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458E-3335-4382-A623-200F729AF003}">
  <dimension ref="B2:L30"/>
  <sheetViews>
    <sheetView workbookViewId="0">
      <selection activeCell="H20" sqref="H20"/>
    </sheetView>
  </sheetViews>
  <sheetFormatPr defaultRowHeight="15"/>
  <cols>
    <col min="2" max="2" width="14.42578125" bestFit="1" customWidth="1"/>
    <col min="3" max="3" width="14.140625" bestFit="1" customWidth="1"/>
    <col min="4" max="4" width="14" bestFit="1" customWidth="1"/>
    <col min="5" max="5" width="9.42578125" bestFit="1" customWidth="1"/>
    <col min="6" max="6" width="16.140625" bestFit="1" customWidth="1"/>
    <col min="7" max="8" width="16.85546875" bestFit="1" customWidth="1"/>
    <col min="10" max="10" width="13.28515625" bestFit="1" customWidth="1"/>
    <col min="11" max="11" width="20.85546875" bestFit="1" customWidth="1"/>
    <col min="12" max="12" width="14.5703125" bestFit="1" customWidth="1"/>
    <col min="13" max="13" width="13.85546875" bestFit="1" customWidth="1"/>
  </cols>
  <sheetData>
    <row r="2" spans="2:12">
      <c r="B2" t="s">
        <v>4</v>
      </c>
      <c r="C2" t="s">
        <v>5</v>
      </c>
      <c r="D2" t="s">
        <v>6</v>
      </c>
      <c r="E2" t="s">
        <v>7</v>
      </c>
      <c r="F2" t="s">
        <v>8</v>
      </c>
      <c r="G2" t="s">
        <v>9</v>
      </c>
      <c r="H2" t="s">
        <v>10</v>
      </c>
      <c r="J2" s="1" t="s">
        <v>5</v>
      </c>
      <c r="K2" s="1" t="s">
        <v>8</v>
      </c>
      <c r="L2" s="1" t="s">
        <v>6</v>
      </c>
    </row>
    <row r="3" spans="2:12">
      <c r="B3" t="s">
        <v>11</v>
      </c>
      <c r="C3" t="s">
        <v>12</v>
      </c>
      <c r="D3" t="s">
        <v>13</v>
      </c>
      <c r="E3" t="s">
        <v>14</v>
      </c>
      <c r="F3">
        <v>92000</v>
      </c>
      <c r="G3">
        <v>110000</v>
      </c>
      <c r="H3">
        <v>108000</v>
      </c>
      <c r="J3" t="s">
        <v>210</v>
      </c>
      <c r="K3" cm="1">
        <f t="array" ref="K3:L3">VLOOKUP("*arc*",Emp[[Name]:[Base Salary ($)]],{4,2},FALSE)</f>
        <v>62000</v>
      </c>
      <c r="L3" t="str">
        <v>Sales</v>
      </c>
    </row>
    <row r="4" spans="2:12">
      <c r="B4" t="s">
        <v>15</v>
      </c>
      <c r="C4" t="s">
        <v>16</v>
      </c>
      <c r="D4" t="s">
        <v>17</v>
      </c>
      <c r="E4" t="s">
        <v>18</v>
      </c>
      <c r="F4">
        <v>62000</v>
      </c>
      <c r="G4">
        <v>200000</v>
      </c>
      <c r="H4">
        <v>215000</v>
      </c>
      <c r="J4" t="s">
        <v>211</v>
      </c>
      <c r="K4" cm="1">
        <f t="array" ref="K4:L4">VLOOKUP(J4,Emp[[Name]:[Base Salary ($)]],{4,2},FALSE)</f>
        <v>71000</v>
      </c>
      <c r="L4" t="str">
        <v>Marketing</v>
      </c>
    </row>
    <row r="5" spans="2:12">
      <c r="B5" t="s">
        <v>19</v>
      </c>
      <c r="C5" t="s">
        <v>20</v>
      </c>
      <c r="D5" t="s">
        <v>17</v>
      </c>
      <c r="E5" t="s">
        <v>21</v>
      </c>
      <c r="F5">
        <v>65000</v>
      </c>
      <c r="G5">
        <v>220000</v>
      </c>
      <c r="H5">
        <v>240000</v>
      </c>
      <c r="J5" t="s">
        <v>212</v>
      </c>
      <c r="K5" cm="1">
        <f t="array" ref="K5:L5">VLOOKUP(J5,Emp[[Name]:[Base Salary ($)]],{4,2},FALSE)</f>
        <v>78000</v>
      </c>
      <c r="L5" t="str">
        <v>Finance</v>
      </c>
    </row>
    <row r="6" spans="2:12">
      <c r="B6" t="s">
        <v>23</v>
      </c>
      <c r="C6" t="s">
        <v>24</v>
      </c>
      <c r="D6" t="s">
        <v>13</v>
      </c>
      <c r="E6" t="s">
        <v>14</v>
      </c>
      <c r="F6">
        <v>85000</v>
      </c>
      <c r="G6">
        <v>120000</v>
      </c>
      <c r="H6">
        <v>135000</v>
      </c>
      <c r="J6" t="s">
        <v>213</v>
      </c>
      <c r="K6" cm="1">
        <f t="array" ref="K6:L6">VLOOKUP(J6,Emp[[Name]:[Base Salary ($)]],{4,2},FALSE)</f>
        <v>58000</v>
      </c>
      <c r="L6" t="str">
        <v>Sales</v>
      </c>
    </row>
    <row r="7" spans="2:12">
      <c r="B7" t="s">
        <v>25</v>
      </c>
      <c r="C7" t="s">
        <v>62</v>
      </c>
      <c r="D7" t="s">
        <v>17</v>
      </c>
      <c r="E7" t="s">
        <v>27</v>
      </c>
      <c r="F7">
        <v>58000</v>
      </c>
      <c r="G7">
        <v>180000</v>
      </c>
      <c r="H7">
        <v>195000</v>
      </c>
    </row>
    <row r="8" spans="2:12">
      <c r="B8" t="s">
        <v>28</v>
      </c>
      <c r="C8" t="s">
        <v>63</v>
      </c>
      <c r="D8" t="s">
        <v>30</v>
      </c>
      <c r="E8" t="s">
        <v>27</v>
      </c>
      <c r="F8">
        <v>78000</v>
      </c>
      <c r="G8">
        <v>130000</v>
      </c>
      <c r="H8">
        <v>130000</v>
      </c>
      <c r="J8" s="1" t="s">
        <v>5</v>
      </c>
      <c r="K8" s="1" t="s">
        <v>8</v>
      </c>
      <c r="L8" s="1" t="s">
        <v>6</v>
      </c>
    </row>
    <row r="9" spans="2:12">
      <c r="B9" t="s">
        <v>15</v>
      </c>
      <c r="C9" t="s">
        <v>33</v>
      </c>
      <c r="D9" t="s">
        <v>34</v>
      </c>
      <c r="E9" t="s">
        <v>21</v>
      </c>
      <c r="F9">
        <v>71000</v>
      </c>
      <c r="G9">
        <v>150000</v>
      </c>
      <c r="H9">
        <v>142000</v>
      </c>
      <c r="J9" t="s">
        <v>16</v>
      </c>
      <c r="K9">
        <f>VLOOKUP(J9,Emp[[Name]:[Base Salary ($)]], COLUMNS(Emp[[#Headers],[Name]:[Base Salary ($)]]),FALSE)</f>
        <v>62000</v>
      </c>
      <c r="L9" t="str">
        <f>VLOOKUP(J9,Emp[[Name]:[Base Salary ($)]], COLUMNS(Emp[[#Headers],[Name]:[Department]]),FALSE)</f>
        <v>Sales</v>
      </c>
    </row>
    <row r="11" spans="2:12">
      <c r="B11" s="1" t="s">
        <v>4</v>
      </c>
      <c r="C11" s="1" t="s">
        <v>9</v>
      </c>
      <c r="D11" s="1" t="s">
        <v>10</v>
      </c>
      <c r="F11" s="1" t="s">
        <v>5</v>
      </c>
      <c r="G11" s="1" t="s">
        <v>8</v>
      </c>
      <c r="H11" s="1" t="s">
        <v>6</v>
      </c>
    </row>
    <row r="12" spans="2:12">
      <c r="B12" t="s">
        <v>15</v>
      </c>
      <c r="C12">
        <f>VLOOKUP(B12,Emp[[Employee ID]:[Sales Target ($)]], 6)</f>
        <v>120000</v>
      </c>
      <c r="D12">
        <f>VLOOKUP(B12,Emp[],7)</f>
        <v>135000</v>
      </c>
      <c r="F12" t="s">
        <v>16</v>
      </c>
      <c r="G12" cm="1">
        <f t="array" ref="G12:H12">VLOOKUP(F12,Emp[[Name]:[Base Salary ($)]],{4,2},FALSE)</f>
        <v>62000</v>
      </c>
      <c r="H12" t="str">
        <v>Sales</v>
      </c>
    </row>
    <row r="14" spans="2:12">
      <c r="B14" s="1" t="s">
        <v>4</v>
      </c>
      <c r="C14" s="1" t="s">
        <v>9</v>
      </c>
      <c r="D14" s="1" t="s">
        <v>10</v>
      </c>
      <c r="F14" s="1" t="s">
        <v>5</v>
      </c>
      <c r="G14" t="s">
        <v>16</v>
      </c>
    </row>
    <row r="15" spans="2:12">
      <c r="B15" t="s">
        <v>15</v>
      </c>
      <c r="C15">
        <f>VLOOKUP(B15,Emp[[Employee ID]:[Sales Target ($)]], 6,TRUE)</f>
        <v>120000</v>
      </c>
      <c r="D15">
        <f>VLOOKUP(B15,Emp[],7,TRUE)</f>
        <v>135000</v>
      </c>
      <c r="F15" s="1" t="s">
        <v>8</v>
      </c>
      <c r="G15" cm="1">
        <f t="array" ref="G15:G16">VLOOKUP(G14,Emp[[Name]:[Base Salary ($)]],{4;2},FALSE)</f>
        <v>62000</v>
      </c>
    </row>
    <row r="16" spans="2:12">
      <c r="F16" s="1" t="s">
        <v>6</v>
      </c>
      <c r="G16" t="str">
        <v>Sales</v>
      </c>
    </row>
    <row r="17" spans="2:11">
      <c r="B17" s="1" t="s">
        <v>4</v>
      </c>
      <c r="C17" s="1" t="s">
        <v>9</v>
      </c>
      <c r="D17" s="1" t="s">
        <v>10</v>
      </c>
    </row>
    <row r="18" spans="2:11">
      <c r="B18" t="s">
        <v>15</v>
      </c>
      <c r="C18">
        <f>VLOOKUP(B18,Emp[[Employee ID]:[Sales Target ($)]], 6,1)</f>
        <v>120000</v>
      </c>
      <c r="D18">
        <f>VLOOKUP(B18,Emp[],7,1)</f>
        <v>135000</v>
      </c>
      <c r="F18" s="1" t="s">
        <v>7</v>
      </c>
      <c r="G18" s="1" t="s">
        <v>4</v>
      </c>
    </row>
    <row r="19" spans="2:11">
      <c r="F19" t="s">
        <v>21</v>
      </c>
      <c r="G19" t="e">
        <f>VLOOKUP(F19,Emp[[Employee ID]:[Region]],1,FALSE)</f>
        <v>#N/A</v>
      </c>
      <c r="H19" t="s">
        <v>2</v>
      </c>
      <c r="I19" s="45" t="s">
        <v>196</v>
      </c>
      <c r="J19" s="45"/>
      <c r="K19" s="45"/>
    </row>
    <row r="20" spans="2:11">
      <c r="B20" s="1" t="s">
        <v>4</v>
      </c>
      <c r="C20" s="1" t="s">
        <v>9</v>
      </c>
      <c r="D20" s="1" t="s">
        <v>10</v>
      </c>
    </row>
    <row r="21" spans="2:11">
      <c r="B21" t="s">
        <v>15</v>
      </c>
      <c r="C21">
        <f>VLOOKUP(B21,Emp[[Employee ID]:[Sales Target ($)]], 6,0)</f>
        <v>200000</v>
      </c>
      <c r="D21">
        <f>VLOOKUP(B21,Emp[],7,FALSE)</f>
        <v>215000</v>
      </c>
    </row>
    <row r="23" spans="2:11">
      <c r="B23" s="35" t="s">
        <v>8</v>
      </c>
      <c r="C23" s="35" t="s">
        <v>9</v>
      </c>
      <c r="D23" s="36" t="s">
        <v>10</v>
      </c>
      <c r="F23" s="38" t="s">
        <v>203</v>
      </c>
    </row>
    <row r="24" spans="2:11">
      <c r="B24">
        <v>58000</v>
      </c>
      <c r="C24">
        <v>180000</v>
      </c>
      <c r="D24">
        <v>195000</v>
      </c>
      <c r="F24" s="30" t="s">
        <v>8</v>
      </c>
      <c r="G24" s="30" t="s">
        <v>10</v>
      </c>
    </row>
    <row r="25" spans="2:11">
      <c r="B25">
        <v>62000</v>
      </c>
      <c r="C25">
        <v>200000</v>
      </c>
      <c r="D25">
        <v>215000</v>
      </c>
      <c r="F25">
        <v>57000</v>
      </c>
      <c r="G25" t="e">
        <f>VLOOKUP(F25,$B$24:$D$30,3,TRUE)</f>
        <v>#N/A</v>
      </c>
    </row>
    <row r="26" spans="2:11">
      <c r="B26">
        <v>65000</v>
      </c>
      <c r="C26">
        <v>220000</v>
      </c>
      <c r="D26">
        <v>240000</v>
      </c>
      <c r="F26">
        <v>63000</v>
      </c>
      <c r="G26" s="33">
        <f t="shared" ref="G26:G27" si="0">VLOOKUP(F26,$B$24:$D$30,3,TRUE)</f>
        <v>215000</v>
      </c>
    </row>
    <row r="27" spans="2:11">
      <c r="B27">
        <v>71000</v>
      </c>
      <c r="C27">
        <v>150000</v>
      </c>
      <c r="D27">
        <v>142000</v>
      </c>
      <c r="F27">
        <v>93000</v>
      </c>
      <c r="G27" s="33">
        <f t="shared" si="0"/>
        <v>108000</v>
      </c>
    </row>
    <row r="28" spans="2:11">
      <c r="B28">
        <v>78000</v>
      </c>
      <c r="C28">
        <v>130000</v>
      </c>
      <c r="D28">
        <v>130000</v>
      </c>
    </row>
    <row r="29" spans="2:11">
      <c r="B29">
        <v>85000</v>
      </c>
      <c r="C29">
        <v>120000</v>
      </c>
      <c r="D29">
        <v>135000</v>
      </c>
    </row>
    <row r="30" spans="2:11">
      <c r="B30">
        <v>92000</v>
      </c>
      <c r="C30">
        <v>110000</v>
      </c>
      <c r="D30">
        <v>108000</v>
      </c>
    </row>
  </sheetData>
  <mergeCells count="1">
    <mergeCell ref="I19:K19"/>
  </mergeCells>
  <dataValidations count="4">
    <dataValidation type="list" allowBlank="1" showInputMessage="1" showErrorMessage="1" sqref="B12 B15 B18 B21" xr:uid="{3E52527D-A67D-4649-BF59-158B2A038A36}">
      <formula1>$B$3:$B$9</formula1>
    </dataValidation>
    <dataValidation type="list" allowBlank="1" showInputMessage="1" showErrorMessage="1" sqref="F12 G14" xr:uid="{CFAB08CF-237D-4722-A589-0F2C157EB689}">
      <formula1>$C$3:$C$9</formula1>
    </dataValidation>
    <dataValidation type="list" allowBlank="1" showInputMessage="1" showErrorMessage="1" sqref="K15 K21" xr:uid="{A71C0423-4218-41B3-AECE-9A4615899B66}">
      <formula1>"Engineering, Sales, Finance, Marketing"</formula1>
    </dataValidation>
    <dataValidation type="list" allowBlank="1" showInputMessage="1" showErrorMessage="1" sqref="J15 J21" xr:uid="{D6E1D93F-C0B9-4ED7-9656-7D31B742820A}">
      <formula1>"North, East, West, South"</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9A72-91D6-47C5-8E1B-9823D919BE05}">
  <dimension ref="A1:M21"/>
  <sheetViews>
    <sheetView workbookViewId="0">
      <selection activeCell="O13" sqref="O13"/>
    </sheetView>
  </sheetViews>
  <sheetFormatPr defaultRowHeight="15"/>
  <cols>
    <col min="1" max="1" width="11" bestFit="1" customWidth="1"/>
  </cols>
  <sheetData>
    <row r="1" spans="1:13">
      <c r="A1" s="1" t="s">
        <v>64</v>
      </c>
    </row>
    <row r="3" spans="1:13">
      <c r="A3" s="48" t="s">
        <v>65</v>
      </c>
      <c r="B3" s="49"/>
      <c r="C3" s="49"/>
      <c r="D3" s="49"/>
      <c r="E3" s="49"/>
      <c r="F3" s="49"/>
      <c r="G3" s="49"/>
      <c r="H3" s="49"/>
      <c r="I3" s="49"/>
      <c r="J3" s="49"/>
      <c r="K3" s="49"/>
      <c r="L3" s="49"/>
      <c r="M3" s="49"/>
    </row>
    <row r="4" spans="1:13">
      <c r="A4" s="49" t="s">
        <v>54</v>
      </c>
      <c r="B4" s="49"/>
      <c r="C4" s="49"/>
      <c r="D4" s="49"/>
      <c r="E4" s="49"/>
      <c r="F4" s="49"/>
      <c r="G4" s="49"/>
      <c r="H4" s="49"/>
      <c r="I4" s="49"/>
      <c r="J4" s="49"/>
      <c r="K4" s="49"/>
      <c r="L4" s="49"/>
      <c r="M4" s="49"/>
    </row>
    <row r="5" spans="1:13">
      <c r="A5" s="49" t="s">
        <v>55</v>
      </c>
      <c r="B5" s="49"/>
      <c r="C5" s="49"/>
      <c r="D5" s="49"/>
      <c r="E5" s="49"/>
      <c r="F5" s="49"/>
      <c r="G5" s="49"/>
      <c r="H5" s="49"/>
      <c r="I5" s="49"/>
      <c r="J5" s="49"/>
      <c r="K5" s="49"/>
      <c r="L5" s="49"/>
      <c r="M5" s="49"/>
    </row>
    <row r="6" spans="1:13">
      <c r="A6" s="13" t="s">
        <v>56</v>
      </c>
      <c r="B6" s="47" t="s">
        <v>67</v>
      </c>
      <c r="C6" s="47"/>
      <c r="D6" s="47"/>
      <c r="E6" s="47"/>
      <c r="F6" s="47"/>
      <c r="G6" s="47"/>
      <c r="H6" s="47"/>
      <c r="I6" s="47"/>
      <c r="J6" s="47"/>
      <c r="K6" s="47"/>
      <c r="L6" s="47"/>
      <c r="M6" s="47"/>
    </row>
    <row r="7" spans="1:13">
      <c r="A7" s="14" t="s">
        <v>57</v>
      </c>
      <c r="B7" s="47" t="s">
        <v>58</v>
      </c>
      <c r="C7" s="47"/>
      <c r="D7" s="47"/>
      <c r="E7" s="47"/>
      <c r="F7" s="47"/>
      <c r="G7" s="47"/>
      <c r="H7" s="47"/>
      <c r="I7" s="47"/>
      <c r="J7" s="47"/>
      <c r="K7" s="47"/>
      <c r="L7" s="47"/>
      <c r="M7" s="47"/>
    </row>
    <row r="9" spans="1:13">
      <c r="A9" s="44" t="s">
        <v>89</v>
      </c>
      <c r="B9" s="44"/>
      <c r="C9" s="44"/>
      <c r="D9" s="44"/>
      <c r="E9" s="44"/>
      <c r="F9" s="44"/>
      <c r="G9" s="44"/>
      <c r="H9" s="44"/>
      <c r="I9" s="44"/>
      <c r="J9" s="44"/>
      <c r="K9" s="44"/>
      <c r="L9" s="44"/>
      <c r="M9" s="44"/>
    </row>
    <row r="10" spans="1:13">
      <c r="A10" s="44"/>
      <c r="B10" s="44"/>
      <c r="C10" s="44"/>
      <c r="D10" s="44"/>
      <c r="E10" s="44"/>
      <c r="F10" s="44"/>
      <c r="G10" s="44"/>
      <c r="H10" s="44"/>
      <c r="I10" s="44"/>
      <c r="J10" s="44"/>
      <c r="K10" s="44"/>
      <c r="L10" s="44"/>
      <c r="M10" s="44"/>
    </row>
    <row r="12" spans="1:13" ht="15" customHeight="1">
      <c r="A12" s="44" t="s">
        <v>90</v>
      </c>
      <c r="B12" s="44"/>
      <c r="C12" s="44"/>
      <c r="D12" s="44"/>
      <c r="E12" s="44"/>
      <c r="F12" s="44"/>
      <c r="G12" s="44"/>
      <c r="H12" s="44"/>
      <c r="I12" s="44"/>
      <c r="J12" s="44"/>
      <c r="K12" s="44"/>
      <c r="L12" s="44"/>
      <c r="M12" s="44"/>
    </row>
    <row r="13" spans="1:13">
      <c r="A13" s="9"/>
      <c r="B13" s="9"/>
      <c r="C13" s="9"/>
      <c r="D13" s="9"/>
      <c r="E13" s="9"/>
      <c r="F13" s="9"/>
      <c r="G13" s="9"/>
      <c r="H13" s="9"/>
      <c r="I13" s="9"/>
      <c r="J13" s="9"/>
      <c r="K13" s="9"/>
      <c r="L13" s="9"/>
      <c r="M13" s="9"/>
    </row>
    <row r="14" spans="1:13">
      <c r="A14" s="44" t="s">
        <v>91</v>
      </c>
      <c r="B14" s="44"/>
      <c r="C14" s="44"/>
      <c r="D14" s="44"/>
      <c r="E14" s="44"/>
      <c r="F14" s="44"/>
      <c r="G14" s="44"/>
      <c r="H14" s="44"/>
      <c r="I14" s="44"/>
      <c r="J14" s="44"/>
      <c r="K14" s="44"/>
      <c r="L14" s="44"/>
      <c r="M14" s="44"/>
    </row>
    <row r="15" spans="1:13">
      <c r="A15" s="44"/>
      <c r="B15" s="44"/>
      <c r="C15" s="44"/>
      <c r="D15" s="44"/>
      <c r="E15" s="44"/>
      <c r="F15" s="44"/>
      <c r="G15" s="44"/>
      <c r="H15" s="44"/>
      <c r="I15" s="44"/>
      <c r="J15" s="44"/>
      <c r="K15" s="44"/>
      <c r="L15" s="44"/>
      <c r="M15" s="44"/>
    </row>
    <row r="17" spans="1:13">
      <c r="A17" s="44" t="s">
        <v>92</v>
      </c>
      <c r="B17" s="44"/>
      <c r="C17" s="44"/>
      <c r="D17" s="44"/>
      <c r="E17" s="44"/>
      <c r="F17" s="44"/>
      <c r="G17" s="44"/>
      <c r="H17" s="44"/>
      <c r="I17" s="44"/>
      <c r="J17" s="44"/>
      <c r="K17" s="44"/>
      <c r="L17" s="44"/>
      <c r="M17" s="44"/>
    </row>
    <row r="18" spans="1:13">
      <c r="A18" s="44"/>
      <c r="B18" s="44"/>
      <c r="C18" s="44"/>
      <c r="D18" s="44"/>
      <c r="E18" s="44"/>
      <c r="F18" s="44"/>
      <c r="G18" s="44"/>
      <c r="H18" s="44"/>
      <c r="I18" s="44"/>
      <c r="J18" s="44"/>
      <c r="K18" s="44"/>
      <c r="L18" s="44"/>
      <c r="M18" s="44"/>
    </row>
    <row r="20" spans="1:13">
      <c r="A20" s="47" t="s">
        <v>93</v>
      </c>
      <c r="B20" s="47"/>
      <c r="C20" s="47"/>
      <c r="D20" s="47"/>
      <c r="E20" s="47"/>
      <c r="F20" s="47"/>
      <c r="G20" s="47"/>
      <c r="H20" s="47"/>
      <c r="I20" s="47"/>
      <c r="J20" s="47"/>
      <c r="K20" s="47"/>
      <c r="L20" s="47"/>
      <c r="M20" s="47"/>
    </row>
    <row r="21" spans="1:13">
      <c r="A21" s="47"/>
      <c r="B21" s="47"/>
      <c r="C21" s="47"/>
      <c r="D21" s="47"/>
      <c r="E21" s="47"/>
      <c r="F21" s="47"/>
      <c r="G21" s="47"/>
      <c r="H21" s="47"/>
      <c r="I21" s="47"/>
      <c r="J21" s="47"/>
      <c r="K21" s="47"/>
      <c r="L21" s="47"/>
      <c r="M21" s="47"/>
    </row>
  </sheetData>
  <mergeCells count="10">
    <mergeCell ref="A3:M3"/>
    <mergeCell ref="A4:M4"/>
    <mergeCell ref="A5:M5"/>
    <mergeCell ref="B6:M6"/>
    <mergeCell ref="B7:M7"/>
    <mergeCell ref="A9:M10"/>
    <mergeCell ref="A12:M12"/>
    <mergeCell ref="A14:M15"/>
    <mergeCell ref="A17:M18"/>
    <mergeCell ref="A20:M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11EA-AA4A-4160-AA6C-815A262DEB22}">
  <dimension ref="B2:N18"/>
  <sheetViews>
    <sheetView topLeftCell="B1" workbookViewId="0">
      <selection activeCell="K11" sqref="K11"/>
    </sheetView>
  </sheetViews>
  <sheetFormatPr defaultRowHeight="15"/>
  <cols>
    <col min="2" max="2" width="21.85546875" bestFit="1" customWidth="1"/>
    <col min="3" max="4" width="15.7109375" bestFit="1" customWidth="1"/>
    <col min="5" max="5" width="11.85546875" bestFit="1" customWidth="1"/>
    <col min="6" max="6" width="14.140625" bestFit="1" customWidth="1"/>
    <col min="8" max="8" width="15.85546875" bestFit="1" customWidth="1"/>
    <col min="9" max="9" width="12.5703125" bestFit="1" customWidth="1"/>
    <col min="14" max="14" width="13.28515625" bestFit="1" customWidth="1"/>
    <col min="15" max="15" width="22.140625" bestFit="1" customWidth="1"/>
  </cols>
  <sheetData>
    <row r="2" spans="2:14">
      <c r="B2" s="15" t="s">
        <v>68</v>
      </c>
      <c r="C2" s="16" t="s">
        <v>70</v>
      </c>
      <c r="D2" s="16" t="s">
        <v>69</v>
      </c>
      <c r="E2" s="16" t="s">
        <v>71</v>
      </c>
      <c r="F2" s="16" t="s">
        <v>72</v>
      </c>
      <c r="H2" s="1" t="s">
        <v>5</v>
      </c>
      <c r="I2" t="s">
        <v>210</v>
      </c>
      <c r="J2" t="s">
        <v>214</v>
      </c>
      <c r="K2" t="s">
        <v>212</v>
      </c>
      <c r="L2" t="s">
        <v>213</v>
      </c>
    </row>
    <row r="3" spans="2:14">
      <c r="B3" s="15" t="s">
        <v>73</v>
      </c>
      <c r="C3" s="16" t="s">
        <v>12</v>
      </c>
      <c r="D3" s="16" t="s">
        <v>16</v>
      </c>
      <c r="E3" s="16" t="s">
        <v>74</v>
      </c>
      <c r="F3" s="16" t="s">
        <v>62</v>
      </c>
      <c r="H3" s="1" t="s">
        <v>84</v>
      </c>
      <c r="I3">
        <f>HLOOKUP(I2,$C$3:$F$7,5,FALSE)</f>
        <v>185000</v>
      </c>
      <c r="J3">
        <f t="shared" ref="J3:L3" si="0">HLOOKUP(J2,$C$3:$F$7,5,FALSE)</f>
        <v>150000</v>
      </c>
      <c r="K3">
        <f t="shared" si="0"/>
        <v>210000</v>
      </c>
      <c r="L3">
        <f t="shared" si="0"/>
        <v>245000</v>
      </c>
      <c r="N3" s="17"/>
    </row>
    <row r="4" spans="2:14">
      <c r="B4" s="15" t="s">
        <v>75</v>
      </c>
      <c r="C4" s="16" t="s">
        <v>14</v>
      </c>
      <c r="D4" s="16" t="s">
        <v>18</v>
      </c>
      <c r="E4" s="16" t="s">
        <v>21</v>
      </c>
      <c r="F4" s="16" t="s">
        <v>27</v>
      </c>
      <c r="H4" s="1" t="s">
        <v>88</v>
      </c>
      <c r="I4">
        <f>HLOOKUP(I2,$C$3:$F$11,9,FALSE)</f>
        <v>145000</v>
      </c>
      <c r="J4">
        <f t="shared" ref="J4:L4" si="1">HLOOKUP(J2,$C$3:$F$11,9,FALSE)</f>
        <v>110000</v>
      </c>
      <c r="K4">
        <f t="shared" si="1"/>
        <v>170000</v>
      </c>
      <c r="L4">
        <f t="shared" si="1"/>
        <v>204000</v>
      </c>
    </row>
    <row r="5" spans="2:14">
      <c r="B5" s="15" t="s">
        <v>76</v>
      </c>
      <c r="C5" s="16" t="s">
        <v>77</v>
      </c>
      <c r="D5" s="16" t="s">
        <v>77</v>
      </c>
      <c r="E5" s="16" t="s">
        <v>78</v>
      </c>
      <c r="F5" s="16" t="s">
        <v>79</v>
      </c>
    </row>
    <row r="6" spans="2:14">
      <c r="B6" s="15" t="s">
        <v>80</v>
      </c>
      <c r="C6" s="16" t="s">
        <v>81</v>
      </c>
      <c r="D6" s="16" t="s">
        <v>81</v>
      </c>
      <c r="E6" s="16" t="s">
        <v>82</v>
      </c>
      <c r="F6" s="16" t="s">
        <v>83</v>
      </c>
    </row>
    <row r="7" spans="2:14">
      <c r="B7" s="15" t="s">
        <v>84</v>
      </c>
      <c r="C7" s="16">
        <v>150000</v>
      </c>
      <c r="D7" s="16">
        <v>185000</v>
      </c>
      <c r="E7" s="16">
        <v>210000</v>
      </c>
      <c r="F7" s="16">
        <v>245000</v>
      </c>
      <c r="H7" s="1" t="s">
        <v>203</v>
      </c>
    </row>
    <row r="8" spans="2:14">
      <c r="B8" s="15" t="s">
        <v>85</v>
      </c>
      <c r="C8" s="16">
        <v>45000</v>
      </c>
      <c r="D8" s="16">
        <v>52000</v>
      </c>
      <c r="E8" s="16">
        <v>58000</v>
      </c>
      <c r="F8" s="16">
        <v>64000</v>
      </c>
      <c r="H8" s="1" t="s">
        <v>84</v>
      </c>
      <c r="I8" s="1" t="s">
        <v>88</v>
      </c>
    </row>
    <row r="9" spans="2:14">
      <c r="B9" s="15" t="s">
        <v>86</v>
      </c>
      <c r="C9" s="16">
        <v>195000</v>
      </c>
      <c r="D9" s="16">
        <v>237000</v>
      </c>
      <c r="E9" s="16">
        <v>268000</v>
      </c>
      <c r="F9" s="16">
        <v>309000</v>
      </c>
      <c r="H9" s="37">
        <v>145000</v>
      </c>
      <c r="I9" t="e">
        <f>HLOOKUP(H9,$C$7:$F$11,5,TRUE)</f>
        <v>#N/A</v>
      </c>
    </row>
    <row r="10" spans="2:14">
      <c r="B10" s="15" t="s">
        <v>87</v>
      </c>
      <c r="C10" s="16">
        <v>85000</v>
      </c>
      <c r="D10" s="16">
        <v>92000</v>
      </c>
      <c r="E10" s="16">
        <v>98000</v>
      </c>
      <c r="F10" s="16">
        <v>105000</v>
      </c>
      <c r="H10" s="37">
        <v>170000</v>
      </c>
      <c r="I10" s="33">
        <f t="shared" ref="I10:I11" si="2">HLOOKUP(H10,$C$7:$F$11,5,TRUE)</f>
        <v>110000</v>
      </c>
    </row>
    <row r="11" spans="2:14">
      <c r="B11" s="15" t="s">
        <v>88</v>
      </c>
      <c r="C11" s="16">
        <v>110000</v>
      </c>
      <c r="D11" s="16">
        <v>145000</v>
      </c>
      <c r="E11" s="16">
        <v>170000</v>
      </c>
      <c r="F11" s="16">
        <v>204000</v>
      </c>
      <c r="H11" s="37">
        <v>250000</v>
      </c>
      <c r="I11" s="33">
        <f t="shared" si="2"/>
        <v>204000</v>
      </c>
    </row>
    <row r="13" spans="2:14">
      <c r="B13" s="1" t="s">
        <v>68</v>
      </c>
      <c r="C13" t="s">
        <v>70</v>
      </c>
    </row>
    <row r="14" spans="2:14">
      <c r="B14" s="1" t="s">
        <v>84</v>
      </c>
      <c r="C14">
        <f>HLOOKUP(C13,C2:F7, 6)</f>
        <v>185000</v>
      </c>
      <c r="D14">
        <f>HLOOKUP(C13,C2:F7, 6,TRUE)</f>
        <v>185000</v>
      </c>
      <c r="E14">
        <f>HLOOKUP(C13,C2:F7, 6,FALSE)</f>
        <v>150000</v>
      </c>
      <c r="F14" cm="1">
        <f t="array" ref="F14:F15">HLOOKUP(C13,C2:F11,{6;10},FALSE)</f>
        <v>150000</v>
      </c>
      <c r="G14">
        <f>HLOOKUP(C13,C2:F7, ROWS(B2:B7),FALSE)</f>
        <v>150000</v>
      </c>
    </row>
    <row r="15" spans="2:14">
      <c r="B15" s="1" t="s">
        <v>88</v>
      </c>
      <c r="C15">
        <f>HLOOKUP(C13,C2:F11, 10)</f>
        <v>145000</v>
      </c>
      <c r="D15">
        <f>HLOOKUP(C13,C2:F11, 10,1)</f>
        <v>145000</v>
      </c>
      <c r="E15">
        <f>HLOOKUP(C13,C2:F11, 10,0)</f>
        <v>110000</v>
      </c>
      <c r="F15">
        <v>110000</v>
      </c>
      <c r="G15">
        <f>HLOOKUP(C13,C2:F11, ROWS(B2:B11),FALSE)</f>
        <v>110000</v>
      </c>
    </row>
    <row r="17" spans="2:8">
      <c r="B17" s="1" t="s">
        <v>80</v>
      </c>
      <c r="C17" t="s">
        <v>82</v>
      </c>
    </row>
    <row r="18" spans="2:8">
      <c r="B18" s="1" t="s">
        <v>73</v>
      </c>
      <c r="C18" t="e">
        <f>HLOOKUP(C17,C3:F6,1,FALSE)</f>
        <v>#N/A</v>
      </c>
      <c r="D18" t="s">
        <v>2</v>
      </c>
      <c r="E18" s="45" t="s">
        <v>197</v>
      </c>
      <c r="F18" s="45"/>
      <c r="G18" s="45"/>
      <c r="H18" s="45"/>
    </row>
  </sheetData>
  <mergeCells count="1">
    <mergeCell ref="E18:H18"/>
  </mergeCells>
  <dataValidations count="1">
    <dataValidation type="list" allowBlank="1" showInputMessage="1" showErrorMessage="1" sqref="C13" xr:uid="{D60A1449-BB07-4DC0-B99A-7A00037C50BC}">
      <formula1>$C$2:$F$2</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CB99-D4DD-4B4F-8786-F4D16E9307E1}">
  <dimension ref="A1:W48"/>
  <sheetViews>
    <sheetView topLeftCell="G1" workbookViewId="0">
      <selection activeCell="E32" sqref="E32"/>
    </sheetView>
  </sheetViews>
  <sheetFormatPr defaultRowHeight="15"/>
  <cols>
    <col min="1" max="1" width="21" customWidth="1"/>
    <col min="2" max="2" width="14.140625" bestFit="1" customWidth="1"/>
    <col min="3" max="3" width="14" bestFit="1" customWidth="1"/>
    <col min="4" max="4" width="14.7109375" customWidth="1"/>
    <col min="5" max="5" width="16.140625" bestFit="1" customWidth="1"/>
    <col min="6" max="7" width="16.85546875" bestFit="1" customWidth="1"/>
    <col min="10" max="10" width="12.140625" customWidth="1"/>
    <col min="11" max="11" width="12.5703125" customWidth="1"/>
    <col min="12" max="12" width="14.28515625" customWidth="1"/>
    <col min="13" max="13" width="13.140625" customWidth="1"/>
    <col min="14" max="14" width="13.85546875" customWidth="1"/>
    <col min="15" max="15" width="15.85546875" customWidth="1"/>
    <col min="16" max="16" width="16.5703125" customWidth="1"/>
  </cols>
  <sheetData>
    <row r="1" spans="1:23">
      <c r="A1" s="1" t="s">
        <v>94</v>
      </c>
      <c r="L1" s="1" t="s">
        <v>95</v>
      </c>
    </row>
    <row r="3" spans="1:23">
      <c r="A3" s="45" t="s">
        <v>96</v>
      </c>
      <c r="B3" s="45"/>
      <c r="C3" s="45"/>
      <c r="D3" s="45"/>
      <c r="E3" s="45"/>
      <c r="L3" s="45" t="s">
        <v>97</v>
      </c>
      <c r="M3" s="45"/>
      <c r="N3" s="45"/>
      <c r="O3" s="45"/>
      <c r="P3" s="45"/>
      <c r="Q3" s="45"/>
    </row>
    <row r="5" spans="1:23">
      <c r="A5" s="1" t="s">
        <v>98</v>
      </c>
      <c r="B5" s="18" t="s">
        <v>99</v>
      </c>
      <c r="C5" t="s">
        <v>100</v>
      </c>
      <c r="D5" t="s">
        <v>101</v>
      </c>
      <c r="E5" s="51" t="s">
        <v>202</v>
      </c>
      <c r="F5" s="51"/>
      <c r="G5" s="51"/>
      <c r="H5" s="51"/>
      <c r="I5" s="51"/>
      <c r="J5" s="51"/>
      <c r="K5" s="19"/>
      <c r="L5" s="45" t="s">
        <v>102</v>
      </c>
      <c r="M5" s="45"/>
      <c r="N5" s="45"/>
      <c r="O5" s="45"/>
      <c r="P5" s="45"/>
      <c r="Q5" s="45"/>
    </row>
    <row r="6" spans="1:23">
      <c r="B6" s="1" t="s">
        <v>103</v>
      </c>
      <c r="C6" t="s">
        <v>104</v>
      </c>
      <c r="D6" t="s">
        <v>105</v>
      </c>
      <c r="E6" s="51" t="s">
        <v>204</v>
      </c>
      <c r="F6" s="51"/>
      <c r="G6" s="51"/>
      <c r="H6" s="51"/>
      <c r="I6" s="51"/>
      <c r="J6" s="51"/>
      <c r="K6" s="19"/>
      <c r="L6" s="19"/>
      <c r="M6" s="19"/>
    </row>
    <row r="7" spans="1:23">
      <c r="B7" s="18" t="s">
        <v>106</v>
      </c>
      <c r="C7" t="s">
        <v>107</v>
      </c>
      <c r="D7" t="s">
        <v>105</v>
      </c>
      <c r="E7" s="51" t="s">
        <v>205</v>
      </c>
      <c r="F7" s="51"/>
      <c r="G7" s="51"/>
      <c r="H7" s="51"/>
      <c r="I7" s="51"/>
      <c r="J7" s="51"/>
      <c r="K7" s="19"/>
      <c r="L7" s="19" t="s">
        <v>54</v>
      </c>
      <c r="M7" s="19"/>
    </row>
    <row r="8" spans="1:23">
      <c r="L8" s="1" t="s">
        <v>108</v>
      </c>
      <c r="M8" s="52" t="s">
        <v>109</v>
      </c>
      <c r="N8" s="52"/>
      <c r="O8" s="52"/>
      <c r="P8" s="52"/>
      <c r="Q8" s="52"/>
      <c r="R8" s="52"/>
      <c r="S8" s="52"/>
      <c r="T8" s="52"/>
      <c r="U8" s="52"/>
      <c r="V8" s="52"/>
      <c r="W8" s="52"/>
    </row>
    <row r="9" spans="1:23">
      <c r="A9" s="20">
        <v>101</v>
      </c>
      <c r="L9" s="1" t="s">
        <v>110</v>
      </c>
      <c r="M9" s="50" t="s">
        <v>111</v>
      </c>
      <c r="N9" s="50"/>
      <c r="O9" s="50"/>
      <c r="P9" s="50"/>
      <c r="Q9" s="50"/>
      <c r="R9" s="50"/>
      <c r="S9" s="50"/>
      <c r="T9" s="50"/>
      <c r="U9" s="50"/>
      <c r="V9" s="50"/>
      <c r="W9" s="50"/>
    </row>
    <row r="10" spans="1:23">
      <c r="A10" s="21">
        <v>103</v>
      </c>
      <c r="L10" s="1" t="s">
        <v>112</v>
      </c>
      <c r="M10" s="52" t="s">
        <v>113</v>
      </c>
      <c r="N10" s="52"/>
      <c r="O10" s="52"/>
      <c r="P10" s="52"/>
      <c r="Q10" s="52"/>
      <c r="R10" s="52"/>
      <c r="S10" s="52"/>
      <c r="T10" s="52"/>
      <c r="U10" s="52"/>
      <c r="V10" s="52"/>
      <c r="W10" s="52"/>
    </row>
    <row r="11" spans="1:23">
      <c r="A11" s="20">
        <v>105</v>
      </c>
      <c r="L11" s="1" t="s">
        <v>114</v>
      </c>
      <c r="M11" s="52" t="s">
        <v>115</v>
      </c>
      <c r="N11" s="52"/>
      <c r="O11" s="52"/>
      <c r="P11" s="52"/>
      <c r="Q11" s="52"/>
      <c r="R11" s="52"/>
      <c r="S11" s="52"/>
      <c r="T11" s="52"/>
      <c r="U11" s="52"/>
      <c r="V11" s="52"/>
      <c r="W11" s="52"/>
    </row>
    <row r="12" spans="1:23">
      <c r="A12" s="21">
        <v>107</v>
      </c>
      <c r="L12" s="1" t="s">
        <v>116</v>
      </c>
      <c r="M12" s="50" t="s">
        <v>117</v>
      </c>
      <c r="N12" s="50"/>
      <c r="O12" s="50"/>
      <c r="P12" s="50"/>
      <c r="Q12" s="50"/>
      <c r="R12" s="50"/>
      <c r="S12" s="50"/>
      <c r="T12" s="50"/>
      <c r="U12" s="50"/>
      <c r="V12" s="50"/>
      <c r="W12" s="50"/>
    </row>
    <row r="13" spans="1:23">
      <c r="A13" s="20">
        <v>109</v>
      </c>
    </row>
    <row r="14" spans="1:23">
      <c r="A14" s="21">
        <v>111</v>
      </c>
      <c r="L14" t="s">
        <v>4</v>
      </c>
      <c r="M14" t="s">
        <v>5</v>
      </c>
      <c r="N14" t="s">
        <v>6</v>
      </c>
      <c r="O14" t="s">
        <v>8</v>
      </c>
      <c r="P14" t="s">
        <v>9</v>
      </c>
    </row>
    <row r="15" spans="1:23">
      <c r="A15" s="20">
        <v>113</v>
      </c>
      <c r="L15" t="s">
        <v>25</v>
      </c>
      <c r="M15" t="s">
        <v>26</v>
      </c>
      <c r="N15" t="s">
        <v>17</v>
      </c>
      <c r="O15">
        <v>58000</v>
      </c>
      <c r="P15">
        <v>180000</v>
      </c>
    </row>
    <row r="16" spans="1:23">
      <c r="L16" t="s">
        <v>23</v>
      </c>
      <c r="M16" t="s">
        <v>12</v>
      </c>
      <c r="N16" t="s">
        <v>13</v>
      </c>
      <c r="O16">
        <v>92000</v>
      </c>
      <c r="P16">
        <v>110000</v>
      </c>
    </row>
    <row r="17" spans="1:17">
      <c r="A17" t="s">
        <v>199</v>
      </c>
      <c r="B17">
        <f>MATCH(103,A9:A15,1)</f>
        <v>2</v>
      </c>
      <c r="C17" s="52" t="s">
        <v>118</v>
      </c>
      <c r="D17" s="52"/>
      <c r="E17" s="52"/>
      <c r="F17" s="52"/>
      <c r="L17" t="s">
        <v>11</v>
      </c>
      <c r="M17" t="s">
        <v>29</v>
      </c>
      <c r="N17" t="s">
        <v>30</v>
      </c>
      <c r="O17">
        <v>78000</v>
      </c>
      <c r="P17">
        <v>130000</v>
      </c>
    </row>
    <row r="18" spans="1:17">
      <c r="A18" t="s">
        <v>200</v>
      </c>
      <c r="B18">
        <f>MATCH(103,A9:A15)</f>
        <v>2</v>
      </c>
      <c r="C18" s="52" t="s">
        <v>119</v>
      </c>
      <c r="D18" s="52"/>
      <c r="E18" s="52"/>
      <c r="F18" s="52"/>
      <c r="L18" t="s">
        <v>15</v>
      </c>
      <c r="M18" t="s">
        <v>16</v>
      </c>
      <c r="N18" t="s">
        <v>17</v>
      </c>
      <c r="O18">
        <v>62000</v>
      </c>
      <c r="P18">
        <v>200000</v>
      </c>
    </row>
    <row r="19" spans="1:17">
      <c r="A19" t="s">
        <v>201</v>
      </c>
      <c r="B19">
        <f>MATCH(103,A9:A15,)</f>
        <v>2</v>
      </c>
      <c r="C19" s="52" t="s">
        <v>120</v>
      </c>
      <c r="D19" s="52"/>
      <c r="E19" s="52"/>
      <c r="F19" s="52"/>
      <c r="L19" t="s">
        <v>32</v>
      </c>
      <c r="M19" t="s">
        <v>20</v>
      </c>
      <c r="N19" t="s">
        <v>17</v>
      </c>
      <c r="O19">
        <v>65000</v>
      </c>
      <c r="P19">
        <v>220000</v>
      </c>
    </row>
    <row r="22" spans="1:17">
      <c r="A22" s="1" t="s">
        <v>121</v>
      </c>
      <c r="L22" s="53" t="s">
        <v>122</v>
      </c>
      <c r="M22" t="str">
        <f>INDEX(Emps[],2,3)</f>
        <v>Engineering</v>
      </c>
    </row>
    <row r="23" spans="1:17">
      <c r="L23" s="53"/>
      <c r="M23" t="str" cm="1">
        <f t="array" ref="M23:Q23">INDEX(Emps[],2,0)</f>
        <v>EMP-101</v>
      </c>
      <c r="N23" t="str">
        <v>Priya Wilson</v>
      </c>
      <c r="O23" t="str">
        <v>Engineering</v>
      </c>
      <c r="P23">
        <v>92000</v>
      </c>
      <c r="Q23">
        <v>110000</v>
      </c>
    </row>
    <row r="24" spans="1:17">
      <c r="A24" s="45" t="s">
        <v>123</v>
      </c>
      <c r="B24" s="45"/>
      <c r="C24" s="45"/>
      <c r="D24" s="45"/>
      <c r="E24" s="45"/>
      <c r="L24" s="53"/>
      <c r="M24" t="str" cm="1">
        <f t="array" ref="M24:Q24">INDEX(Emps[],2,)</f>
        <v>EMP-101</v>
      </c>
      <c r="N24" t="str">
        <v>Priya Wilson</v>
      </c>
      <c r="O24" t="str">
        <v>Engineering</v>
      </c>
      <c r="P24">
        <v>92000</v>
      </c>
      <c r="Q24">
        <v>110000</v>
      </c>
    </row>
    <row r="25" spans="1:17">
      <c r="L25" s="53"/>
      <c r="M25" t="str">
        <f>INDEX(Emps[Employee ID],2)</f>
        <v>EMP-101</v>
      </c>
    </row>
    <row r="26" spans="1:17">
      <c r="A26" s="1" t="s">
        <v>124</v>
      </c>
      <c r="B26" t="s">
        <v>125</v>
      </c>
      <c r="L26" s="53"/>
      <c r="M26" cm="1">
        <f t="array" ref="M26:N27">INDEX(Emps[], {2;4}, {4,2})</f>
        <v>92000</v>
      </c>
      <c r="N26" t="str">
        <v>Priya Wilson</v>
      </c>
    </row>
    <row r="27" spans="1:17">
      <c r="A27" s="1" t="s">
        <v>126</v>
      </c>
      <c r="B27" t="s">
        <v>127</v>
      </c>
      <c r="L27" s="53"/>
      <c r="M27">
        <v>62000</v>
      </c>
      <c r="N27" t="str">
        <v>Marcus Vance</v>
      </c>
    </row>
    <row r="28" spans="1:17">
      <c r="C28" s="22"/>
    </row>
    <row r="29" spans="1:17">
      <c r="A29" s="1" t="s">
        <v>128</v>
      </c>
      <c r="B29" s="22" t="s">
        <v>129</v>
      </c>
      <c r="C29" s="22" t="s">
        <v>130</v>
      </c>
      <c r="L29" s="53" t="s">
        <v>131</v>
      </c>
      <c r="M29" t="str">
        <f>INDEX((Emps[[Employee ID]:[Name]],Emps[Department],Emps[[Base Salary ($)]:[Sales Target ($)]]),3,2,1)</f>
        <v>David Kim</v>
      </c>
    </row>
    <row r="30" spans="1:17">
      <c r="B30" s="23" t="s">
        <v>132</v>
      </c>
      <c r="C30" s="22" t="s">
        <v>133</v>
      </c>
      <c r="L30" s="53"/>
      <c r="M30" t="str">
        <f>INDEX((Emps[[Employee ID]:[Name]],Emps[Department],Emps[[Base Salary ($)]:[Sales Target ($)]]),2,1,2)</f>
        <v>Engineering</v>
      </c>
    </row>
    <row r="31" spans="1:17">
      <c r="B31" s="23" t="s">
        <v>134</v>
      </c>
      <c r="C31" s="22" t="s">
        <v>135</v>
      </c>
      <c r="L31" s="53"/>
      <c r="M31">
        <f>INDEX((Emps[[Employee ID]:[Name]],Emps[Department],Emps[[Base Salary ($)]:[Sales Target ($)]]),5,1,3)</f>
        <v>65000</v>
      </c>
    </row>
    <row r="32" spans="1:17">
      <c r="B32" s="23" t="s">
        <v>136</v>
      </c>
      <c r="C32" s="22" t="s">
        <v>137</v>
      </c>
      <c r="L32" s="53"/>
      <c r="M32">
        <f>INDEX((Emps[[Employee ID]:[Name]],Emps[Department],Emps[[Base Salary ($)]:[Sales Target ($)]]),4,2,3)</f>
        <v>200000</v>
      </c>
    </row>
    <row r="34" spans="1:6">
      <c r="A34" s="24" t="s">
        <v>138</v>
      </c>
      <c r="B34" s="25" t="s">
        <v>139</v>
      </c>
      <c r="C34" s="54" t="s">
        <v>140</v>
      </c>
      <c r="D34" s="54"/>
      <c r="E34" s="54"/>
      <c r="F34" s="54"/>
    </row>
    <row r="35" spans="1:6">
      <c r="B35" s="26" t="s">
        <v>141</v>
      </c>
      <c r="C35" s="54" t="s">
        <v>142</v>
      </c>
      <c r="D35" s="54"/>
      <c r="E35" s="54"/>
      <c r="F35" s="54"/>
    </row>
    <row r="36" spans="1:6">
      <c r="B36" s="26" t="s">
        <v>143</v>
      </c>
      <c r="C36" s="54" t="s">
        <v>144</v>
      </c>
      <c r="D36" s="54"/>
      <c r="E36" s="54"/>
      <c r="F36" s="54"/>
    </row>
    <row r="37" spans="1:6">
      <c r="B37" s="26" t="s">
        <v>145</v>
      </c>
      <c r="C37" s="54" t="s">
        <v>146</v>
      </c>
      <c r="D37" s="54"/>
      <c r="E37" s="54"/>
      <c r="F37" s="54"/>
    </row>
    <row r="39" spans="1:6">
      <c r="A39" s="20">
        <v>109</v>
      </c>
      <c r="B39" s="27"/>
      <c r="C39">
        <f>_xlfn.XMATCH(107,A39:A47)</f>
        <v>5</v>
      </c>
      <c r="E39" s="20">
        <v>101</v>
      </c>
      <c r="F39" s="20">
        <v>113</v>
      </c>
    </row>
    <row r="40" spans="1:6">
      <c r="A40" s="21">
        <v>103</v>
      </c>
      <c r="C40">
        <f>_xlfn.XMATCH(106,A39:A47,-1)</f>
        <v>7</v>
      </c>
      <c r="E40" s="21">
        <v>103</v>
      </c>
      <c r="F40" s="21">
        <v>111</v>
      </c>
    </row>
    <row r="41" spans="1:6">
      <c r="A41" s="20">
        <v>113</v>
      </c>
      <c r="C41">
        <f>_xlfn.XMATCH(107,A39:A47,,1)</f>
        <v>5</v>
      </c>
      <c r="E41" s="20">
        <v>105</v>
      </c>
      <c r="F41" s="20">
        <v>109</v>
      </c>
    </row>
    <row r="42" spans="1:6">
      <c r="A42" s="21">
        <v>101</v>
      </c>
      <c r="C42">
        <f>_xlfn.XMATCH(107,A39:A47,,-1)</f>
        <v>8</v>
      </c>
      <c r="E42" s="21">
        <v>107</v>
      </c>
      <c r="F42" s="21">
        <v>107</v>
      </c>
    </row>
    <row r="43" spans="1:6">
      <c r="A43" s="20">
        <v>107</v>
      </c>
      <c r="C43">
        <f>_xlfn.XMATCH(107,A39:A47,,)</f>
        <v>5</v>
      </c>
      <c r="E43" s="20">
        <v>109</v>
      </c>
      <c r="F43" s="20">
        <v>105</v>
      </c>
    </row>
    <row r="44" spans="1:6">
      <c r="A44" s="21">
        <v>111</v>
      </c>
      <c r="C44" cm="1">
        <f t="array" ref="C44">_xlfn.XMATCH("*7",A39:A47&amp;"",2,-1)</f>
        <v>8</v>
      </c>
      <c r="E44" s="21">
        <v>111</v>
      </c>
      <c r="F44" s="21">
        <v>103</v>
      </c>
    </row>
    <row r="45" spans="1:6">
      <c r="A45" s="20">
        <v>105</v>
      </c>
      <c r="E45" s="20">
        <v>113</v>
      </c>
      <c r="F45" s="20">
        <v>101</v>
      </c>
    </row>
    <row r="46" spans="1:6">
      <c r="A46" s="28">
        <v>107</v>
      </c>
    </row>
    <row r="47" spans="1:6">
      <c r="A47" s="29">
        <v>101</v>
      </c>
      <c r="E47">
        <f>_xlfn.XMATCH(106,E39:E45,-1,2)</f>
        <v>3</v>
      </c>
      <c r="F47">
        <f>_xlfn.XMATCH(106,F39:F45,-1,-2)</f>
        <v>5</v>
      </c>
    </row>
    <row r="48" spans="1:6">
      <c r="E48" s="33">
        <f>_xlfn.XMATCH(106,E39:E45,1,2)</f>
        <v>4</v>
      </c>
      <c r="F48" s="33">
        <f>_xlfn.XMATCH(106,F39:F45,1,-2)</f>
        <v>4</v>
      </c>
    </row>
  </sheetData>
  <mergeCells count="21">
    <mergeCell ref="C36:F36"/>
    <mergeCell ref="C37:F37"/>
    <mergeCell ref="A3:E3"/>
    <mergeCell ref="C35:F35"/>
    <mergeCell ref="C19:F19"/>
    <mergeCell ref="L22:L27"/>
    <mergeCell ref="A24:E24"/>
    <mergeCell ref="L29:L32"/>
    <mergeCell ref="C34:F34"/>
    <mergeCell ref="M10:W10"/>
    <mergeCell ref="M11:W11"/>
    <mergeCell ref="M12:W12"/>
    <mergeCell ref="C17:F17"/>
    <mergeCell ref="C18:F18"/>
    <mergeCell ref="M9:W9"/>
    <mergeCell ref="L5:Q5"/>
    <mergeCell ref="L3:Q3"/>
    <mergeCell ref="E5:J5"/>
    <mergeCell ref="E6:J6"/>
    <mergeCell ref="E7:J7"/>
    <mergeCell ref="M8:W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522E-5D78-4946-B9B0-D83FB5E7E805}">
  <dimension ref="A1:N44"/>
  <sheetViews>
    <sheetView topLeftCell="D16" workbookViewId="0">
      <selection activeCell="J33" sqref="J33"/>
    </sheetView>
  </sheetViews>
  <sheetFormatPr defaultRowHeight="15"/>
  <cols>
    <col min="1" max="1" width="14.42578125" bestFit="1" customWidth="1"/>
    <col min="2" max="2" width="14.140625" bestFit="1" customWidth="1"/>
    <col min="3" max="3" width="14" bestFit="1" customWidth="1"/>
    <col min="4" max="4" width="13.85546875" bestFit="1" customWidth="1"/>
    <col min="5" max="5" width="16.140625" bestFit="1" customWidth="1"/>
    <col min="6" max="6" width="21" customWidth="1"/>
    <col min="7" max="7" width="31" customWidth="1"/>
    <col min="8" max="8" width="11.140625" customWidth="1"/>
    <col min="9" max="9" width="21.85546875" bestFit="1" customWidth="1"/>
    <col min="10" max="10" width="17" customWidth="1"/>
    <col min="11" max="11" width="17.28515625" customWidth="1"/>
    <col min="12" max="12" width="18.42578125" customWidth="1"/>
    <col min="13" max="13" width="16.5703125" customWidth="1"/>
    <col min="14" max="14" width="16.28515625" customWidth="1"/>
  </cols>
  <sheetData>
    <row r="1" spans="1:14">
      <c r="A1" t="s">
        <v>4</v>
      </c>
      <c r="B1" t="s">
        <v>5</v>
      </c>
      <c r="C1" t="s">
        <v>6</v>
      </c>
      <c r="D1" t="s">
        <v>7</v>
      </c>
      <c r="E1" t="s">
        <v>8</v>
      </c>
      <c r="F1" t="s">
        <v>9</v>
      </c>
      <c r="G1" t="s">
        <v>10</v>
      </c>
      <c r="I1" s="15" t="s">
        <v>68</v>
      </c>
      <c r="J1" s="16" t="s">
        <v>69</v>
      </c>
      <c r="K1" s="16" t="s">
        <v>70</v>
      </c>
      <c r="L1" s="16" t="s">
        <v>71</v>
      </c>
      <c r="M1" s="16" t="s">
        <v>72</v>
      </c>
    </row>
    <row r="2" spans="1:14">
      <c r="A2" t="s">
        <v>11</v>
      </c>
      <c r="B2" t="s">
        <v>12</v>
      </c>
      <c r="C2" t="s">
        <v>13</v>
      </c>
      <c r="D2" t="s">
        <v>14</v>
      </c>
      <c r="E2">
        <v>92000</v>
      </c>
      <c r="F2">
        <v>110000</v>
      </c>
      <c r="G2">
        <v>108000</v>
      </c>
      <c r="I2" s="15" t="s">
        <v>73</v>
      </c>
      <c r="J2" s="16" t="s">
        <v>12</v>
      </c>
      <c r="K2" s="16" t="s">
        <v>16</v>
      </c>
      <c r="L2" s="16" t="s">
        <v>74</v>
      </c>
      <c r="M2" s="16" t="s">
        <v>62</v>
      </c>
    </row>
    <row r="3" spans="1:14">
      <c r="A3" t="s">
        <v>15</v>
      </c>
      <c r="B3" t="s">
        <v>16</v>
      </c>
      <c r="C3" t="s">
        <v>17</v>
      </c>
      <c r="D3" t="s">
        <v>18</v>
      </c>
      <c r="E3">
        <v>62000</v>
      </c>
      <c r="F3">
        <v>200000</v>
      </c>
      <c r="G3">
        <v>215000</v>
      </c>
      <c r="I3" s="15" t="s">
        <v>75</v>
      </c>
      <c r="J3" s="16" t="s">
        <v>14</v>
      </c>
      <c r="K3" s="16" t="s">
        <v>18</v>
      </c>
      <c r="L3" s="16" t="s">
        <v>21</v>
      </c>
      <c r="M3" s="16" t="s">
        <v>27</v>
      </c>
    </row>
    <row r="4" spans="1:14">
      <c r="A4" t="s">
        <v>19</v>
      </c>
      <c r="B4" t="s">
        <v>20</v>
      </c>
      <c r="C4" t="s">
        <v>17</v>
      </c>
      <c r="D4" t="s">
        <v>21</v>
      </c>
      <c r="E4">
        <v>65000</v>
      </c>
      <c r="F4">
        <v>220000</v>
      </c>
      <c r="G4">
        <v>240000</v>
      </c>
      <c r="I4" s="15" t="s">
        <v>76</v>
      </c>
      <c r="J4" s="16" t="s">
        <v>77</v>
      </c>
      <c r="K4" s="16" t="s">
        <v>77</v>
      </c>
      <c r="L4" s="16" t="s">
        <v>78</v>
      </c>
      <c r="M4" s="16" t="s">
        <v>79</v>
      </c>
    </row>
    <row r="5" spans="1:14">
      <c r="A5" t="s">
        <v>23</v>
      </c>
      <c r="B5" t="s">
        <v>24</v>
      </c>
      <c r="C5" t="s">
        <v>13</v>
      </c>
      <c r="D5" t="s">
        <v>14</v>
      </c>
      <c r="E5">
        <v>85000</v>
      </c>
      <c r="F5">
        <v>120000</v>
      </c>
      <c r="G5">
        <v>135000</v>
      </c>
      <c r="I5" s="15" t="s">
        <v>80</v>
      </c>
      <c r="J5" s="16" t="s">
        <v>81</v>
      </c>
      <c r="K5" s="16" t="s">
        <v>81</v>
      </c>
      <c r="L5" s="16" t="s">
        <v>82</v>
      </c>
      <c r="M5" s="16" t="s">
        <v>83</v>
      </c>
    </row>
    <row r="6" spans="1:14">
      <c r="A6" t="s">
        <v>25</v>
      </c>
      <c r="B6" t="s">
        <v>62</v>
      </c>
      <c r="C6" t="s">
        <v>17</v>
      </c>
      <c r="D6" t="s">
        <v>27</v>
      </c>
      <c r="E6">
        <v>58000</v>
      </c>
      <c r="F6">
        <v>180000</v>
      </c>
      <c r="G6">
        <v>195000</v>
      </c>
      <c r="I6" s="15" t="s">
        <v>84</v>
      </c>
      <c r="J6" s="16">
        <v>150000</v>
      </c>
      <c r="K6" s="16">
        <v>185000</v>
      </c>
      <c r="L6" s="16">
        <v>210000</v>
      </c>
      <c r="M6" s="16">
        <v>245000</v>
      </c>
    </row>
    <row r="7" spans="1:14">
      <c r="A7" t="s">
        <v>28</v>
      </c>
      <c r="B7" t="s">
        <v>63</v>
      </c>
      <c r="C7" t="s">
        <v>30</v>
      </c>
      <c r="D7" t="s">
        <v>27</v>
      </c>
      <c r="E7">
        <v>78000</v>
      </c>
      <c r="F7">
        <v>130000</v>
      </c>
      <c r="G7">
        <v>130000</v>
      </c>
      <c r="I7" s="15" t="s">
        <v>85</v>
      </c>
      <c r="J7" s="16">
        <v>45000</v>
      </c>
      <c r="K7" s="16">
        <v>52000</v>
      </c>
      <c r="L7" s="16">
        <v>58000</v>
      </c>
      <c r="M7" s="16">
        <v>64000</v>
      </c>
    </row>
    <row r="8" spans="1:14">
      <c r="A8" t="s">
        <v>32</v>
      </c>
      <c r="B8" t="s">
        <v>33</v>
      </c>
      <c r="C8" t="s">
        <v>34</v>
      </c>
      <c r="D8" t="s">
        <v>21</v>
      </c>
      <c r="E8">
        <v>71000</v>
      </c>
      <c r="F8">
        <v>150000</v>
      </c>
      <c r="G8">
        <v>142000</v>
      </c>
      <c r="I8" s="15" t="s">
        <v>86</v>
      </c>
      <c r="J8" s="16">
        <v>195000</v>
      </c>
      <c r="K8" s="16">
        <v>237000</v>
      </c>
      <c r="L8" s="16">
        <v>268000</v>
      </c>
      <c r="M8" s="16">
        <v>309000</v>
      </c>
    </row>
    <row r="9" spans="1:14">
      <c r="I9" s="15" t="s">
        <v>87</v>
      </c>
      <c r="J9" s="16">
        <v>85000</v>
      </c>
      <c r="K9" s="16">
        <v>92000</v>
      </c>
      <c r="L9" s="16">
        <v>98000</v>
      </c>
      <c r="M9" s="16">
        <v>105000</v>
      </c>
    </row>
    <row r="10" spans="1:14">
      <c r="E10" s="55" t="s">
        <v>193</v>
      </c>
      <c r="F10" s="55"/>
      <c r="G10" s="55"/>
      <c r="I10" s="15" t="s">
        <v>88</v>
      </c>
      <c r="J10" s="16">
        <v>110000</v>
      </c>
      <c r="K10" s="16">
        <v>145000</v>
      </c>
      <c r="L10" s="16">
        <v>170000</v>
      </c>
      <c r="M10" s="16">
        <v>204000</v>
      </c>
    </row>
    <row r="11" spans="1:14">
      <c r="A11" s="30" t="s">
        <v>5</v>
      </c>
      <c r="B11" s="30" t="s">
        <v>4</v>
      </c>
      <c r="E11" s="55" t="s">
        <v>194</v>
      </c>
      <c r="F11" s="55"/>
      <c r="G11" s="55"/>
    </row>
    <row r="12" spans="1:14">
      <c r="A12" t="s">
        <v>12</v>
      </c>
      <c r="B12" t="str">
        <f>INDEX(Employees[Employee ID],MATCH(A12,Employees[Name],0))</f>
        <v>EMP-105</v>
      </c>
      <c r="E12" s="56" t="s">
        <v>192</v>
      </c>
      <c r="F12" s="56"/>
      <c r="G12" s="56"/>
    </row>
    <row r="13" spans="1:14" ht="15" customHeight="1">
      <c r="E13" s="56"/>
      <c r="F13" s="56"/>
      <c r="G13" s="56"/>
    </row>
    <row r="14" spans="1:14" ht="15" customHeight="1">
      <c r="A14" s="30" t="s">
        <v>5</v>
      </c>
      <c r="B14" s="30" t="s">
        <v>4</v>
      </c>
      <c r="C14" s="30" t="s">
        <v>8</v>
      </c>
      <c r="E14" s="56" t="s">
        <v>195</v>
      </c>
      <c r="F14" s="56"/>
      <c r="G14" s="56"/>
      <c r="I14" s="30" t="s">
        <v>75</v>
      </c>
      <c r="J14" s="30" t="s">
        <v>73</v>
      </c>
      <c r="M14" s="30" t="s">
        <v>73</v>
      </c>
      <c r="N14" s="30" t="s">
        <v>80</v>
      </c>
    </row>
    <row r="15" spans="1:14">
      <c r="A15" t="s">
        <v>12</v>
      </c>
      <c r="B15" t="str" cm="1">
        <f t="array" ref="B15:C15">INDEX(Employees[],MATCH(A15,Employees[Name],0), MATCH(B14:C14,Employees[[#Headers],[Employee ID]:[Base Salary ($)]],0))</f>
        <v>EMP-105</v>
      </c>
      <c r="C15">
        <v>92000</v>
      </c>
      <c r="E15" s="56"/>
      <c r="F15" s="56"/>
      <c r="G15" s="56"/>
      <c r="I15" t="s">
        <v>21</v>
      </c>
      <c r="J15" t="str" cm="1">
        <f t="array" ref="J15">INDEX(J2:M2,,MATCH(I15,J3:M3,0))</f>
        <v>Sarah *Chen</v>
      </c>
      <c r="M15" t="s">
        <v>208</v>
      </c>
      <c r="N15" t="str">
        <f>INDEX($J$2:$M$5, MATCH($N$14,$I$2:$I$5,0),MATCH(M15,$J$2:$M$2,0))</f>
        <v>On Track</v>
      </c>
    </row>
    <row r="16" spans="1:14">
      <c r="E16" s="56"/>
      <c r="F16" s="56"/>
      <c r="G16" s="56"/>
      <c r="J16" t="str">
        <f>INDEX(J2:M3,MATCH(J14,I2:I3,0),MATCH(I15,J3:M3,0))</f>
        <v>Sarah *Chen</v>
      </c>
      <c r="M16" t="s">
        <v>209</v>
      </c>
      <c r="N16" s="33" t="str">
        <f>INDEX($J$2:$M$5, MATCH($N$14,$I$2:$I$5,0),MATCH(M16,$J$2:$M$2,0))</f>
        <v>Needs Review</v>
      </c>
    </row>
    <row r="18" spans="1:13" ht="15" customHeight="1">
      <c r="A18" s="30" t="s">
        <v>6</v>
      </c>
      <c r="B18" s="30" t="s">
        <v>7</v>
      </c>
      <c r="C18" s="30" t="s">
        <v>5</v>
      </c>
      <c r="D18" s="30" t="s">
        <v>8</v>
      </c>
      <c r="F18" s="57" t="s">
        <v>147</v>
      </c>
      <c r="G18" s="57"/>
      <c r="I18" s="30" t="s">
        <v>75</v>
      </c>
      <c r="J18" s="30" t="s">
        <v>73</v>
      </c>
      <c r="K18" s="30" t="s">
        <v>86</v>
      </c>
    </row>
    <row r="19" spans="1:13">
      <c r="A19" t="s">
        <v>13</v>
      </c>
      <c r="B19" t="s">
        <v>14</v>
      </c>
      <c r="C19" t="str" cm="1">
        <f t="array" ref="C19:D19">INDEX(Employees[[Employee ID]:[Base Salary ($)]], MATCH(1,(Employees[Department]=A19)*(Employees[Region]=B19),0),MATCH(C18:D18,Employees[[#Headers],[Employee ID]:[Base Salary ($)]],0))</f>
        <v>Priya Wilson</v>
      </c>
      <c r="D19">
        <v>92000</v>
      </c>
      <c r="E19" t="s">
        <v>2</v>
      </c>
      <c r="F19" s="57"/>
      <c r="G19" s="57"/>
      <c r="I19" t="s">
        <v>18</v>
      </c>
      <c r="J19" t="str" cm="1">
        <f t="array" ref="J19:K19">INDEX(J2:M8,MATCH(J18:K18,I2:I8,0), MATCH(I19,J3:M3,0))</f>
        <v>Marcus Vance</v>
      </c>
      <c r="K19">
        <v>237000</v>
      </c>
    </row>
    <row r="20" spans="1:13">
      <c r="A20" t="s">
        <v>206</v>
      </c>
      <c r="B20" t="s">
        <v>207</v>
      </c>
      <c r="C20" t="str">
        <f>INDEX(Employees[[Name]:[Base Salary ($)]], MATCH(A20,Employees[Department],0), MATCH(C18,Employees[[#Headers],[Name]:[Base Salary ($)]],0))</f>
        <v>Priya Wilson</v>
      </c>
      <c r="D20">
        <f>INDEX(Employees[[Name]:[Base Salary ($)]], MATCH(B20,Employees[Region],0), MATCH(D18,Employees[[#Headers],[Name]:[Base Salary ($)]],0))</f>
        <v>92000</v>
      </c>
      <c r="F20" s="57"/>
      <c r="G20" s="57"/>
    </row>
    <row r="21" spans="1:13">
      <c r="F21" s="57"/>
      <c r="G21" s="57"/>
      <c r="I21" s="30" t="s">
        <v>86</v>
      </c>
      <c r="J21" s="30" t="s">
        <v>88</v>
      </c>
      <c r="K21" s="30" t="s">
        <v>73</v>
      </c>
    </row>
    <row r="22" spans="1:13">
      <c r="C22" t="str" cm="1">
        <f t="array" ref="C22:D22">INDEX(_xlfn._xlws.FILTER(Employees[[Employee ID]:[Base Salary ($)]],(Employees[Department]=A19)*(Employees[Region]=B19)),2,{2,5})</f>
        <v>Sarah Chen</v>
      </c>
      <c r="D22">
        <v>85000</v>
      </c>
      <c r="F22" s="57"/>
      <c r="G22" s="57"/>
      <c r="I22">
        <v>200000</v>
      </c>
      <c r="J22">
        <v>150000</v>
      </c>
      <c r="K22" t="str" cm="1">
        <f t="array" ref="K22">INDEX(J2:M10, MATCH(K21,I2:I10,0), MATCH(1,(J8:M8&gt;I22)*(J10:M10&gt;J22),0))</f>
        <v>Sarah *Chen</v>
      </c>
    </row>
    <row r="23" spans="1:13">
      <c r="F23" s="57"/>
      <c r="G23" s="57"/>
    </row>
    <row r="24" spans="1:13">
      <c r="C24" t="str" cm="1">
        <f t="array" ref="C24:D25">_xlfn._xlws.FILTER(CHOOSE({1,2},Employees[Name],Employees[Base Salary ($)]),(Employees[Department]=A19)*(Employees[Region]=B19))</f>
        <v>Priya Wilson</v>
      </c>
      <c r="D24">
        <v>92000</v>
      </c>
      <c r="F24" s="57"/>
      <c r="G24" s="57"/>
    </row>
    <row r="25" spans="1:13">
      <c r="C25" t="str">
        <v>Sarah Chen</v>
      </c>
      <c r="D25">
        <v>85000</v>
      </c>
      <c r="F25" s="57"/>
      <c r="G25" s="57"/>
      <c r="I25" s="15" t="s">
        <v>84</v>
      </c>
      <c r="J25" s="39">
        <v>150000</v>
      </c>
      <c r="K25" s="39">
        <v>185000</v>
      </c>
      <c r="L25" s="39">
        <v>210000</v>
      </c>
      <c r="M25" s="39">
        <v>245000</v>
      </c>
    </row>
    <row r="26" spans="1:13">
      <c r="I26" s="15" t="s">
        <v>85</v>
      </c>
      <c r="J26" s="39">
        <v>64000</v>
      </c>
      <c r="K26" s="39">
        <v>58000</v>
      </c>
      <c r="L26" s="39">
        <v>52000</v>
      </c>
      <c r="M26" s="39">
        <v>45000</v>
      </c>
    </row>
    <row r="27" spans="1:13">
      <c r="I27" s="15" t="s">
        <v>86</v>
      </c>
      <c r="J27" s="39">
        <v>195000</v>
      </c>
      <c r="K27" s="39">
        <v>237000</v>
      </c>
      <c r="L27" s="39">
        <v>268000</v>
      </c>
      <c r="M27" s="39">
        <v>309000</v>
      </c>
    </row>
    <row r="28" spans="1:13">
      <c r="A28" s="35" t="s">
        <v>8</v>
      </c>
      <c r="B28" s="35" t="s">
        <v>9</v>
      </c>
      <c r="C28" s="36" t="s">
        <v>10</v>
      </c>
      <c r="E28" s="38" t="s">
        <v>203</v>
      </c>
    </row>
    <row r="29" spans="1:13">
      <c r="A29">
        <v>58000</v>
      </c>
      <c r="B29">
        <v>180000</v>
      </c>
      <c r="C29">
        <v>195000</v>
      </c>
      <c r="E29" s="30" t="s">
        <v>8</v>
      </c>
      <c r="F29" s="30" t="s">
        <v>10</v>
      </c>
      <c r="I29" s="40" t="s">
        <v>203</v>
      </c>
    </row>
    <row r="30" spans="1:13">
      <c r="A30">
        <v>62000</v>
      </c>
      <c r="B30">
        <v>200000</v>
      </c>
      <c r="C30">
        <v>215000</v>
      </c>
      <c r="E30">
        <v>57000</v>
      </c>
      <c r="F30" t="e">
        <f>INDEX($C$29:$C$35, MATCH(E30,$A$29:$A$35,1))</f>
        <v>#N/A</v>
      </c>
      <c r="I30" s="40" t="s">
        <v>84</v>
      </c>
      <c r="J30" s="30" t="s">
        <v>86</v>
      </c>
      <c r="L30" s="30" t="s">
        <v>85</v>
      </c>
      <c r="M30" s="30" t="s">
        <v>86</v>
      </c>
    </row>
    <row r="31" spans="1:13">
      <c r="A31">
        <v>65000</v>
      </c>
      <c r="B31">
        <v>220000</v>
      </c>
      <c r="C31">
        <v>240000</v>
      </c>
      <c r="E31">
        <v>63000</v>
      </c>
      <c r="F31" s="33">
        <f t="shared" ref="F31:F32" si="0">INDEX($C$29:$C$35, MATCH(E31,$A$29:$A$35,1))</f>
        <v>215000</v>
      </c>
      <c r="G31" s="33"/>
      <c r="I31" s="33">
        <v>145000</v>
      </c>
      <c r="J31" t="e" cm="1">
        <f t="array" ref="J31">INDEX($J$27:$M$27,,MATCH(I31,$J$25:$M$25,1))</f>
        <v>#N/A</v>
      </c>
      <c r="L31">
        <v>44000</v>
      </c>
      <c r="M31" cm="1">
        <f t="array" ref="M31">INDEX($J$27:$M$27,,MATCH(L31,$J$26:$M$26,-1))</f>
        <v>309000</v>
      </c>
    </row>
    <row r="32" spans="1:13">
      <c r="A32">
        <v>71000</v>
      </c>
      <c r="B32">
        <v>150000</v>
      </c>
      <c r="C32">
        <v>142000</v>
      </c>
      <c r="E32">
        <v>93000</v>
      </c>
      <c r="F32" s="33">
        <f t="shared" si="0"/>
        <v>108000</v>
      </c>
      <c r="G32" s="33"/>
      <c r="I32">
        <v>170000</v>
      </c>
      <c r="J32" s="33" cm="1">
        <f t="array" ref="J32">INDEX($J$27:$M$27,,MATCH(I32,$J$25:$M$25,1))</f>
        <v>195000</v>
      </c>
      <c r="L32">
        <v>53000</v>
      </c>
      <c r="M32" s="33" cm="1">
        <f t="array" ref="M32">INDEX($J$27:$M$27,,MATCH(L32,$J$26:$M$26,-1))</f>
        <v>237000</v>
      </c>
    </row>
    <row r="33" spans="1:13">
      <c r="A33">
        <v>78000</v>
      </c>
      <c r="B33">
        <v>130000</v>
      </c>
      <c r="C33">
        <v>130000</v>
      </c>
      <c r="I33">
        <v>250000</v>
      </c>
      <c r="J33" s="33" cm="1">
        <f t="array" ref="J33">INDEX($J$27:$M$27,,MATCH(I33,$J$25:$M$25,1))</f>
        <v>309000</v>
      </c>
      <c r="L33">
        <v>65000</v>
      </c>
      <c r="M33" s="33" t="e" cm="1">
        <f t="array" ref="M33">INDEX($J$27:$M$27,,MATCH(L33,$J$26:$M$26,-1))</f>
        <v>#N/A</v>
      </c>
    </row>
    <row r="34" spans="1:13">
      <c r="A34">
        <v>85000</v>
      </c>
      <c r="B34">
        <v>120000</v>
      </c>
      <c r="C34">
        <v>135000</v>
      </c>
      <c r="E34" s="33"/>
    </row>
    <row r="35" spans="1:13">
      <c r="A35">
        <v>92000</v>
      </c>
      <c r="B35">
        <v>110000</v>
      </c>
      <c r="C35">
        <v>108000</v>
      </c>
      <c r="E35" s="33"/>
    </row>
    <row r="36" spans="1:13">
      <c r="E36" s="33"/>
    </row>
    <row r="37" spans="1:13">
      <c r="A37" s="35" t="s">
        <v>8</v>
      </c>
      <c r="B37" s="35" t="s">
        <v>9</v>
      </c>
      <c r="C37" s="36" t="s">
        <v>10</v>
      </c>
      <c r="E37" s="38" t="s">
        <v>203</v>
      </c>
      <c r="F37" s="33"/>
    </row>
    <row r="38" spans="1:13">
      <c r="A38">
        <v>92000</v>
      </c>
      <c r="B38">
        <v>110000</v>
      </c>
      <c r="C38">
        <v>108000</v>
      </c>
      <c r="E38" s="30" t="s">
        <v>8</v>
      </c>
      <c r="F38" s="30" t="s">
        <v>10</v>
      </c>
    </row>
    <row r="39" spans="1:13">
      <c r="A39">
        <v>85000</v>
      </c>
      <c r="B39">
        <v>120000</v>
      </c>
      <c r="C39">
        <v>135000</v>
      </c>
      <c r="E39" s="33">
        <v>57000</v>
      </c>
      <c r="F39" s="33">
        <f>INDEX($C$38:$C$44, MATCH(E39,$A$38:$A$44,-1))</f>
        <v>195000</v>
      </c>
    </row>
    <row r="40" spans="1:13">
      <c r="A40">
        <v>78000</v>
      </c>
      <c r="B40">
        <v>130000</v>
      </c>
      <c r="C40">
        <v>130000</v>
      </c>
      <c r="E40" s="33">
        <v>63000</v>
      </c>
      <c r="F40" s="33">
        <f t="shared" ref="F40:F41" si="1">INDEX($C$38:$C$44, MATCH(E40,$A$38:$A$44,-1))</f>
        <v>240000</v>
      </c>
      <c r="G40" s="33"/>
    </row>
    <row r="41" spans="1:13">
      <c r="A41">
        <v>71000</v>
      </c>
      <c r="B41">
        <v>150000</v>
      </c>
      <c r="C41">
        <v>142000</v>
      </c>
      <c r="E41" s="33">
        <v>93000</v>
      </c>
      <c r="F41" s="33" t="e">
        <f t="shared" si="1"/>
        <v>#N/A</v>
      </c>
      <c r="G41" s="33"/>
    </row>
    <row r="42" spans="1:13">
      <c r="A42">
        <v>65000</v>
      </c>
      <c r="B42">
        <v>220000</v>
      </c>
      <c r="C42">
        <v>240000</v>
      </c>
    </row>
    <row r="43" spans="1:13">
      <c r="A43">
        <v>62000</v>
      </c>
      <c r="B43">
        <v>200000</v>
      </c>
      <c r="C43">
        <v>215000</v>
      </c>
    </row>
    <row r="44" spans="1:13">
      <c r="A44">
        <v>58000</v>
      </c>
      <c r="B44">
        <v>180000</v>
      </c>
      <c r="C44">
        <v>195000</v>
      </c>
    </row>
  </sheetData>
  <mergeCells count="5">
    <mergeCell ref="E10:G10"/>
    <mergeCell ref="E11:G11"/>
    <mergeCell ref="E14:G16"/>
    <mergeCell ref="F18:G25"/>
    <mergeCell ref="E12:G13"/>
  </mergeCells>
  <dataValidations count="4">
    <dataValidation type="list" allowBlank="1" showInputMessage="1" showErrorMessage="1" sqref="I15 I19" xr:uid="{68C0F4F1-0256-46C7-8B6A-299C5970A405}">
      <formula1>$J$3:$M$3</formula1>
    </dataValidation>
    <dataValidation type="list" allowBlank="1" showInputMessage="1" showErrorMessage="1" sqref="B19" xr:uid="{48CFE3A2-A58C-4051-8D7D-7B40C5A1E754}">
      <formula1>"North, East, South, West"</formula1>
    </dataValidation>
    <dataValidation type="list" allowBlank="1" showInputMessage="1" showErrorMessage="1" sqref="A19" xr:uid="{619C13C1-8F7B-4751-A048-AB3C6FBCCD86}">
      <formula1>"Engineering, Sales, Finance, Marketing"</formula1>
    </dataValidation>
    <dataValidation type="list" allowBlank="1" showInputMessage="1" showErrorMessage="1" sqref="A12 A15" xr:uid="{71025D10-195C-4E05-BD24-ED6B54B3CF85}">
      <formula1>$B$2:$B$8</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F7F7-2FE0-4BB9-B8DF-0E920F84341E}">
  <dimension ref="A1:Z56"/>
  <sheetViews>
    <sheetView zoomScaleNormal="100" workbookViewId="0">
      <selection activeCell="I16" sqref="I16"/>
    </sheetView>
  </sheetViews>
  <sheetFormatPr defaultRowHeight="15"/>
  <cols>
    <col min="1" max="1" width="21.5703125" bestFit="1" customWidth="1"/>
    <col min="2" max="2" width="10.42578125" customWidth="1"/>
    <col min="12" max="12" width="14.42578125" bestFit="1" customWidth="1"/>
    <col min="13" max="13" width="14.140625" bestFit="1" customWidth="1"/>
    <col min="14" max="14" width="14" bestFit="1" customWidth="1"/>
    <col min="15" max="15" width="13.42578125" bestFit="1" customWidth="1"/>
    <col min="16" max="16" width="20.85546875" bestFit="1" customWidth="1"/>
    <col min="17" max="17" width="24" customWidth="1"/>
    <col min="18" max="18" width="16.85546875" bestFit="1" customWidth="1"/>
    <col min="19" max="19" width="14.5703125" bestFit="1" customWidth="1"/>
    <col min="20" max="20" width="17.28515625" customWidth="1"/>
    <col min="21" max="21" width="21.85546875" bestFit="1" customWidth="1"/>
    <col min="22" max="22" width="18.85546875" customWidth="1"/>
    <col min="23" max="23" width="15.7109375" bestFit="1" customWidth="1"/>
    <col min="24" max="24" width="11.85546875" bestFit="1" customWidth="1"/>
    <col min="25" max="25" width="15.85546875" customWidth="1"/>
    <col min="26" max="26" width="15.140625" customWidth="1"/>
  </cols>
  <sheetData>
    <row r="1" spans="1:25">
      <c r="A1" s="30" t="s">
        <v>148</v>
      </c>
      <c r="L1" t="s">
        <v>4</v>
      </c>
      <c r="M1" t="s">
        <v>5</v>
      </c>
      <c r="N1" t="s">
        <v>6</v>
      </c>
      <c r="O1" t="s">
        <v>7</v>
      </c>
      <c r="P1" t="s">
        <v>8</v>
      </c>
      <c r="Q1" t="s">
        <v>9</v>
      </c>
      <c r="R1" t="s">
        <v>10</v>
      </c>
      <c r="U1" s="15" t="s">
        <v>68</v>
      </c>
      <c r="V1" s="16" t="s">
        <v>69</v>
      </c>
      <c r="W1" s="16" t="s">
        <v>70</v>
      </c>
      <c r="X1" s="16" t="s">
        <v>71</v>
      </c>
      <c r="Y1" s="16" t="s">
        <v>72</v>
      </c>
    </row>
    <row r="2" spans="1:25">
      <c r="L2" t="s">
        <v>11</v>
      </c>
      <c r="M2" t="s">
        <v>12</v>
      </c>
      <c r="N2" t="s">
        <v>13</v>
      </c>
      <c r="O2" t="s">
        <v>14</v>
      </c>
      <c r="P2">
        <v>92000</v>
      </c>
      <c r="Q2">
        <v>110000</v>
      </c>
      <c r="R2">
        <v>108000</v>
      </c>
      <c r="U2" s="15" t="s">
        <v>73</v>
      </c>
      <c r="V2" s="16" t="s">
        <v>12</v>
      </c>
      <c r="W2" s="16" t="s">
        <v>16</v>
      </c>
      <c r="X2" s="16" t="s">
        <v>74</v>
      </c>
      <c r="Y2" s="16" t="s">
        <v>62</v>
      </c>
    </row>
    <row r="3" spans="1:25">
      <c r="A3" s="58" t="s">
        <v>149</v>
      </c>
      <c r="B3" s="58"/>
      <c r="C3" s="58"/>
      <c r="D3" s="58"/>
      <c r="E3" s="58"/>
      <c r="F3" s="58"/>
      <c r="G3" s="58"/>
      <c r="H3" s="58"/>
      <c r="I3" s="58"/>
      <c r="J3" s="58"/>
      <c r="L3" t="s">
        <v>15</v>
      </c>
      <c r="M3" t="s">
        <v>16</v>
      </c>
      <c r="N3" t="s">
        <v>17</v>
      </c>
      <c r="O3" t="s">
        <v>18</v>
      </c>
      <c r="P3">
        <v>62000</v>
      </c>
      <c r="Q3">
        <v>200000</v>
      </c>
      <c r="R3">
        <v>215000</v>
      </c>
      <c r="U3" s="15" t="s">
        <v>75</v>
      </c>
      <c r="V3" s="16" t="s">
        <v>14</v>
      </c>
      <c r="W3" s="16" t="s">
        <v>18</v>
      </c>
      <c r="X3" s="16" t="s">
        <v>21</v>
      </c>
      <c r="Y3" s="16" t="s">
        <v>27</v>
      </c>
    </row>
    <row r="4" spans="1:25">
      <c r="L4" t="s">
        <v>19</v>
      </c>
      <c r="M4" t="s">
        <v>20</v>
      </c>
      <c r="N4" t="s">
        <v>17</v>
      </c>
      <c r="O4" t="s">
        <v>21</v>
      </c>
      <c r="P4">
        <v>65000</v>
      </c>
      <c r="Q4">
        <v>220000</v>
      </c>
      <c r="R4">
        <v>240000</v>
      </c>
      <c r="U4" s="15" t="s">
        <v>76</v>
      </c>
      <c r="V4" s="16" t="s">
        <v>77</v>
      </c>
      <c r="W4" s="16" t="s">
        <v>77</v>
      </c>
      <c r="X4" s="16" t="s">
        <v>78</v>
      </c>
      <c r="Y4" s="16" t="s">
        <v>79</v>
      </c>
    </row>
    <row r="5" spans="1:25">
      <c r="A5" t="s">
        <v>150</v>
      </c>
      <c r="L5" t="s">
        <v>23</v>
      </c>
      <c r="M5" t="s">
        <v>24</v>
      </c>
      <c r="N5" t="s">
        <v>13</v>
      </c>
      <c r="O5" t="s">
        <v>14</v>
      </c>
      <c r="P5">
        <v>85000</v>
      </c>
      <c r="Q5">
        <v>120000</v>
      </c>
      <c r="R5">
        <v>135000</v>
      </c>
      <c r="U5" s="15" t="s">
        <v>80</v>
      </c>
      <c r="V5" s="16" t="s">
        <v>81</v>
      </c>
      <c r="W5" s="16" t="s">
        <v>81</v>
      </c>
      <c r="X5" s="16" t="s">
        <v>82</v>
      </c>
      <c r="Y5" s="16" t="s">
        <v>83</v>
      </c>
    </row>
    <row r="6" spans="1:25">
      <c r="A6" s="30" t="s">
        <v>151</v>
      </c>
      <c r="B6" s="58" t="s">
        <v>152</v>
      </c>
      <c r="C6" s="58"/>
      <c r="D6" s="58"/>
      <c r="E6" s="58"/>
      <c r="F6" s="58"/>
      <c r="G6" s="58"/>
      <c r="L6" t="s">
        <v>25</v>
      </c>
      <c r="M6" t="s">
        <v>62</v>
      </c>
      <c r="N6" t="s">
        <v>17</v>
      </c>
      <c r="O6" t="s">
        <v>27</v>
      </c>
      <c r="P6">
        <v>58000</v>
      </c>
      <c r="Q6">
        <v>180000</v>
      </c>
      <c r="R6">
        <v>195000</v>
      </c>
      <c r="U6" s="15" t="s">
        <v>84</v>
      </c>
      <c r="V6" s="16">
        <v>150000</v>
      </c>
      <c r="W6" s="16">
        <v>185000</v>
      </c>
      <c r="X6" s="16">
        <v>210000</v>
      </c>
      <c r="Y6" s="16">
        <v>245000</v>
      </c>
    </row>
    <row r="7" spans="1:25">
      <c r="L7" t="s">
        <v>28</v>
      </c>
      <c r="M7" t="s">
        <v>63</v>
      </c>
      <c r="N7" t="s">
        <v>30</v>
      </c>
      <c r="O7" t="s">
        <v>27</v>
      </c>
      <c r="P7">
        <v>78000</v>
      </c>
      <c r="Q7">
        <v>130000</v>
      </c>
      <c r="R7">
        <v>130000</v>
      </c>
      <c r="U7" s="15" t="s">
        <v>85</v>
      </c>
      <c r="V7" s="16">
        <v>45000</v>
      </c>
      <c r="W7" s="16">
        <v>52000</v>
      </c>
      <c r="X7" s="16">
        <v>58000</v>
      </c>
      <c r="Y7" s="16">
        <v>64000</v>
      </c>
    </row>
    <row r="8" spans="1:25">
      <c r="A8" s="30" t="s">
        <v>153</v>
      </c>
      <c r="B8" s="58" t="s">
        <v>154</v>
      </c>
      <c r="C8" s="58"/>
      <c r="D8" s="58"/>
      <c r="E8" s="58"/>
      <c r="F8" s="58"/>
      <c r="G8" s="58"/>
      <c r="L8" t="s">
        <v>32</v>
      </c>
      <c r="M8" t="s">
        <v>33</v>
      </c>
      <c r="N8" t="s">
        <v>34</v>
      </c>
      <c r="O8" t="s">
        <v>21</v>
      </c>
      <c r="P8">
        <v>71000</v>
      </c>
      <c r="Q8">
        <v>150000</v>
      </c>
      <c r="R8">
        <v>142000</v>
      </c>
      <c r="U8" s="15" t="s">
        <v>86</v>
      </c>
      <c r="V8" s="16">
        <v>195000</v>
      </c>
      <c r="W8" s="16">
        <v>237000</v>
      </c>
      <c r="X8" s="16">
        <v>268000</v>
      </c>
      <c r="Y8" s="16">
        <v>309000</v>
      </c>
    </row>
    <row r="9" spans="1:25">
      <c r="U9" s="15" t="s">
        <v>87</v>
      </c>
      <c r="V9" s="16">
        <v>85000</v>
      </c>
      <c r="W9" s="16">
        <v>92000</v>
      </c>
      <c r="X9" s="16">
        <v>98000</v>
      </c>
      <c r="Y9" s="16">
        <v>105000</v>
      </c>
    </row>
    <row r="10" spans="1:25">
      <c r="A10" s="30" t="s">
        <v>155</v>
      </c>
      <c r="B10" s="58" t="s">
        <v>156</v>
      </c>
      <c r="C10" s="58"/>
      <c r="D10" s="58"/>
      <c r="E10" s="58"/>
      <c r="F10" s="58"/>
      <c r="G10" s="58"/>
      <c r="U10" s="15" t="s">
        <v>88</v>
      </c>
      <c r="V10" s="16">
        <v>110000</v>
      </c>
      <c r="W10" s="16">
        <v>145000</v>
      </c>
      <c r="X10" s="16">
        <v>170000</v>
      </c>
      <c r="Y10" s="16">
        <v>204000</v>
      </c>
    </row>
    <row r="11" spans="1:25">
      <c r="L11" s="30" t="s">
        <v>5</v>
      </c>
      <c r="M11" s="30" t="s">
        <v>6</v>
      </c>
      <c r="P11" s="30" t="s">
        <v>6</v>
      </c>
      <c r="Q11" s="30" t="s">
        <v>7</v>
      </c>
      <c r="R11" s="30" t="s">
        <v>10</v>
      </c>
    </row>
    <row r="12" spans="1:25">
      <c r="A12" s="30" t="s">
        <v>157</v>
      </c>
      <c r="B12" s="58" t="s">
        <v>158</v>
      </c>
      <c r="C12" s="58"/>
      <c r="D12" s="58"/>
      <c r="E12" s="58"/>
      <c r="F12" s="58"/>
      <c r="G12" s="58"/>
      <c r="L12" t="s">
        <v>12</v>
      </c>
      <c r="M12" t="str">
        <f>_xlfn.XLOOKUP(L12,Empl[Name],Empl[Department], "Not Found",0,1)</f>
        <v>Engineering</v>
      </c>
      <c r="P12" t="s">
        <v>17</v>
      </c>
      <c r="Q12" t="s">
        <v>18</v>
      </c>
      <c r="R12" cm="1">
        <f t="array" ref="R12">_xlfn.XLOOKUP(1,(Empl[Department]=P12)*(Empl[Region]=Q12),Empl[Actual Sales ($)])</f>
        <v>215000</v>
      </c>
    </row>
    <row r="14" spans="1:25" ht="14.45" customHeight="1">
      <c r="C14" s="34"/>
      <c r="D14" s="34"/>
      <c r="E14" s="34"/>
      <c r="F14" s="34"/>
      <c r="G14" s="34"/>
      <c r="H14" s="34"/>
      <c r="I14" s="34"/>
      <c r="J14" s="34"/>
      <c r="L14" s="30" t="s">
        <v>6</v>
      </c>
      <c r="M14" s="30" t="s">
        <v>4</v>
      </c>
      <c r="N14" s="30" t="s">
        <v>5</v>
      </c>
      <c r="P14" s="30" t="s">
        <v>7</v>
      </c>
      <c r="Q14" s="30" t="s">
        <v>6</v>
      </c>
      <c r="R14" s="30" t="s">
        <v>5</v>
      </c>
      <c r="S14" s="30" t="s">
        <v>9</v>
      </c>
      <c r="U14" s="30" t="s">
        <v>75</v>
      </c>
      <c r="V14" s="30" t="s">
        <v>73</v>
      </c>
      <c r="W14" s="30" t="s">
        <v>88</v>
      </c>
    </row>
    <row r="15" spans="1:25">
      <c r="A15" s="30" t="s">
        <v>159</v>
      </c>
      <c r="B15" s="59" t="s">
        <v>198</v>
      </c>
      <c r="C15" s="59"/>
      <c r="D15" s="59"/>
      <c r="E15" s="59"/>
      <c r="F15" s="34"/>
      <c r="G15" s="34"/>
      <c r="H15" s="34"/>
      <c r="I15" s="34"/>
      <c r="J15" s="34"/>
      <c r="L15" t="s">
        <v>13</v>
      </c>
      <c r="M15" t="str" cm="1">
        <f t="array" ref="M15:N15">_xlfn.XLOOKUP(L15,Empl[Department],Empl[[Employee ID]:[Name]], "Not Found",0,-1)</f>
        <v>EMP-101</v>
      </c>
      <c r="N15" t="str">
        <v>Sarah Chen</v>
      </c>
      <c r="P15" t="s">
        <v>18</v>
      </c>
      <c r="Q15" t="s">
        <v>17</v>
      </c>
      <c r="R15" t="str" cm="1">
        <f t="array" ref="R15:S15">_xlfn.XLOOKUP(TRUE,((Empl[Region]=P15)*(Empl[Department]=Q15))&gt;0,CHOOSE({1,2},Empl[Name],Empl[Sales Target ($)]))</f>
        <v>Marcus Vance</v>
      </c>
      <c r="S15">
        <v>200000</v>
      </c>
      <c r="U15" t="s">
        <v>18</v>
      </c>
      <c r="V15" t="str">
        <f>_xlfn.XLOOKUP(U15,V3:Y3,V2:Y2)</f>
        <v>Marcus Vance</v>
      </c>
      <c r="W15">
        <f>_xlfn.XLOOKUP(U15,V3:Y3,V10:Y10, "Not Found",0,1)</f>
        <v>145000</v>
      </c>
    </row>
    <row r="16" spans="1:25">
      <c r="B16" s="31" t="s">
        <v>160</v>
      </c>
      <c r="C16" s="51" t="s">
        <v>161</v>
      </c>
      <c r="D16" s="51"/>
      <c r="E16" s="51"/>
      <c r="F16" s="51"/>
      <c r="R16" t="str" cm="1">
        <f t="array" ref="R16:S16">_xlfn.XLOOKUP(1,(Empl[Region]=P15)*(Empl[Department]=Q15),CHOOSE({1,2},Empl[Name],Empl[Sales Target ($)]))</f>
        <v>Marcus Vance</v>
      </c>
      <c r="S16">
        <v>200000</v>
      </c>
    </row>
    <row r="17" spans="1:26">
      <c r="B17" s="31" t="s">
        <v>106</v>
      </c>
      <c r="C17" s="52" t="s">
        <v>162</v>
      </c>
      <c r="D17" s="52"/>
      <c r="E17" s="52"/>
      <c r="F17" s="52"/>
      <c r="L17" s="30" t="s">
        <v>6</v>
      </c>
      <c r="M17" s="30" t="s">
        <v>5</v>
      </c>
      <c r="N17" s="30" t="s">
        <v>8</v>
      </c>
      <c r="U17" s="30" t="s">
        <v>75</v>
      </c>
      <c r="V17" s="30" t="s">
        <v>73</v>
      </c>
      <c r="W17" s="30" t="s">
        <v>88</v>
      </c>
      <c r="Y17" s="30" t="s">
        <v>75</v>
      </c>
      <c r="Z17" t="s">
        <v>18</v>
      </c>
    </row>
    <row r="18" spans="1:26">
      <c r="B18" s="31" t="s">
        <v>163</v>
      </c>
      <c r="C18" s="52" t="s">
        <v>164</v>
      </c>
      <c r="D18" s="52"/>
      <c r="E18" s="52"/>
      <c r="F18" s="52"/>
      <c r="L18" t="s">
        <v>13</v>
      </c>
      <c r="M18" t="str" cm="1">
        <f t="array" ref="M18:N18">_xlfn.XLOOKUP(L18,Empl[Department], CHOOSE({1,2},Empl[Name],Empl[Base Salary ($)]),,,)</f>
        <v>Priya Wilson</v>
      </c>
      <c r="N18">
        <v>92000</v>
      </c>
      <c r="P18" s="30" t="s">
        <v>7</v>
      </c>
      <c r="Q18" s="30" t="s">
        <v>6</v>
      </c>
      <c r="R18" s="30" t="s">
        <v>5</v>
      </c>
      <c r="S18" s="30" t="s">
        <v>9</v>
      </c>
      <c r="U18" t="s">
        <v>18</v>
      </c>
      <c r="V18" t="str" cm="1">
        <f t="array" ref="V18:W18">TRANSPOSE(_xlfn.XLOOKUP(U18,V3:Y3, CHOOSE({1;2},V2:Y2,V10:Y10)))</f>
        <v>Marcus Vance</v>
      </c>
      <c r="W18">
        <v>145000</v>
      </c>
      <c r="Y18" s="30" t="s">
        <v>73</v>
      </c>
      <c r="Z18" t="str" cm="1">
        <f t="array" ref="Z18:Z19">_xlfn.XLOOKUP(U18,V3:Y3, CHOOSE({1;2},V2:Y2,V10:Y10))</f>
        <v>Marcus Vance</v>
      </c>
    </row>
    <row r="19" spans="1:26">
      <c r="B19" s="31" t="s">
        <v>165</v>
      </c>
      <c r="C19" s="52" t="s">
        <v>137</v>
      </c>
      <c r="D19" s="52"/>
      <c r="E19" s="52"/>
      <c r="F19" s="52"/>
      <c r="P19" t="s">
        <v>18</v>
      </c>
      <c r="Q19" t="s">
        <v>30</v>
      </c>
      <c r="R19" t="str" cm="1">
        <f t="array" ref="R19:S19">_xlfn.XLOOKUP(TRUE,((Empl[Region]=P15)+(Empl[Department]=Q15))&gt;0,CHOOSE({1,2},Empl[Name],Empl[Sales Target ($)]))</f>
        <v>Marcus Vance</v>
      </c>
      <c r="S19">
        <v>200000</v>
      </c>
      <c r="Y19" s="30" t="s">
        <v>88</v>
      </c>
      <c r="Z19">
        <v>145000</v>
      </c>
    </row>
    <row r="20" spans="1:26">
      <c r="L20" s="30" t="s">
        <v>5</v>
      </c>
      <c r="M20" s="30" t="s">
        <v>8</v>
      </c>
      <c r="R20" t="str" cm="1">
        <f t="array" ref="R20:S20">_xlfn.XLOOKUP(1,--(((Empl[Region]=P15)+(Empl[Department]=Q15))&gt;0),CHOOSE({1,2},Empl[Name],Empl[Sales Target ($)]))</f>
        <v>Marcus Vance</v>
      </c>
      <c r="S20">
        <v>200000</v>
      </c>
      <c r="U20" s="30" t="s">
        <v>75</v>
      </c>
      <c r="V20" t="s">
        <v>18</v>
      </c>
    </row>
    <row r="21" spans="1:26">
      <c r="A21" s="30" t="s">
        <v>166</v>
      </c>
      <c r="B21" s="31" t="s">
        <v>167</v>
      </c>
      <c r="C21" s="52" t="s">
        <v>168</v>
      </c>
      <c r="D21" s="52"/>
      <c r="E21" s="52"/>
      <c r="F21" s="52"/>
      <c r="G21" s="52"/>
      <c r="H21" s="52"/>
      <c r="I21" s="52"/>
      <c r="L21" t="str">
        <f>"*~~Wi*"</f>
        <v>*~~Wi*</v>
      </c>
      <c r="M21">
        <f>_xlfn.XLOOKUP(L21,Empl[Name],Empl[Base Salary ($)],,2,1)</f>
        <v>58000</v>
      </c>
      <c r="U21" s="30" t="s">
        <v>87</v>
      </c>
      <c r="V21" cm="1">
        <f t="array" ref="V21:V22">_xlfn.XLOOKUP(V20,V3:Y3,V9:Y10)</f>
        <v>92000</v>
      </c>
    </row>
    <row r="22" spans="1:26">
      <c r="B22" s="31" t="s">
        <v>106</v>
      </c>
      <c r="C22" s="52" t="s">
        <v>171</v>
      </c>
      <c r="D22" s="52"/>
      <c r="E22" s="52"/>
      <c r="F22" s="52"/>
      <c r="G22" s="52"/>
      <c r="H22" s="52"/>
      <c r="I22" s="52"/>
      <c r="P22" s="30" t="s">
        <v>169</v>
      </c>
      <c r="Q22" s="30" t="s">
        <v>170</v>
      </c>
      <c r="R22" s="30" t="s">
        <v>5</v>
      </c>
      <c r="U22" s="30" t="s">
        <v>88</v>
      </c>
      <c r="V22">
        <v>145000</v>
      </c>
    </row>
    <row r="23" spans="1:26">
      <c r="B23" s="31" t="s">
        <v>165</v>
      </c>
      <c r="C23" s="52" t="s">
        <v>172</v>
      </c>
      <c r="D23" s="52"/>
      <c r="E23" s="52"/>
      <c r="F23" s="52"/>
      <c r="G23" s="52"/>
      <c r="H23" s="52"/>
      <c r="I23" s="52"/>
      <c r="L23" s="30" t="s">
        <v>8</v>
      </c>
      <c r="M23" s="30" t="s">
        <v>4</v>
      </c>
      <c r="P23">
        <v>60000</v>
      </c>
      <c r="Q23">
        <v>150000</v>
      </c>
      <c r="R23" t="str" cm="1">
        <f t="array" ref="R23">_xlfn.XLOOKUP(1, (Empl[Base Salary ($)]&gt;P23)*(Empl[Actual Sales ($)]&gt;Q23),Empl[Name])</f>
        <v>Marcus Vance</v>
      </c>
    </row>
    <row r="24" spans="1:26">
      <c r="B24" s="31" t="s">
        <v>173</v>
      </c>
      <c r="C24" s="52" t="s">
        <v>174</v>
      </c>
      <c r="D24" s="52"/>
      <c r="E24" s="52"/>
      <c r="F24" s="52"/>
      <c r="G24" s="52"/>
      <c r="H24" s="52"/>
      <c r="I24" s="52"/>
      <c r="L24">
        <v>60000</v>
      </c>
      <c r="M24" t="str">
        <f>_xlfn.XLOOKUP(L24,Empl[Base Salary ($)],Empl[Employee ID],,-1,1)</f>
        <v>EMP-104</v>
      </c>
      <c r="U24" s="30" t="s">
        <v>87</v>
      </c>
      <c r="V24">
        <v>90000</v>
      </c>
    </row>
    <row r="25" spans="1:26">
      <c r="M25" t="str">
        <f>_xlfn.XLOOKUP(L24,Empl[Base Salary ($)],Empl[Employee ID],,1,1)</f>
        <v>EMP-102</v>
      </c>
      <c r="U25" s="30" t="s">
        <v>88</v>
      </c>
      <c r="V25">
        <v>150000</v>
      </c>
    </row>
    <row r="26" spans="1:26">
      <c r="A26" s="30" t="s">
        <v>175</v>
      </c>
      <c r="U26" s="30" t="s">
        <v>73</v>
      </c>
      <c r="V26" t="str" cm="1">
        <f t="array" ref="V26">_xlfn.XLOOKUP(1, (V9:Y9&gt;V24)*(V10:Y10&gt;V25),V2:Y2, "Not Found",0,-1)</f>
        <v>James ~Wilson</v>
      </c>
    </row>
    <row r="27" spans="1:26">
      <c r="A27" s="52" t="s">
        <v>176</v>
      </c>
      <c r="B27" s="52"/>
    </row>
    <row r="28" spans="1:26">
      <c r="A28" s="52" t="s">
        <v>177</v>
      </c>
      <c r="B28" s="52"/>
      <c r="L28" s="32" t="s">
        <v>4</v>
      </c>
      <c r="M28" s="32" t="s">
        <v>5</v>
      </c>
      <c r="N28" s="32" t="s">
        <v>6</v>
      </c>
      <c r="O28" s="32" t="s">
        <v>7</v>
      </c>
      <c r="P28" s="32" t="s">
        <v>8</v>
      </c>
      <c r="Q28" s="32" t="s">
        <v>10</v>
      </c>
    </row>
    <row r="29" spans="1:26">
      <c r="A29" s="52" t="s">
        <v>178</v>
      </c>
      <c r="B29" s="52"/>
      <c r="L29" s="8" t="s">
        <v>11</v>
      </c>
      <c r="M29" s="8" t="s">
        <v>20</v>
      </c>
      <c r="N29" s="8" t="s">
        <v>184</v>
      </c>
      <c r="O29" s="8" t="s">
        <v>14</v>
      </c>
      <c r="P29" s="8">
        <v>58000</v>
      </c>
      <c r="Q29" s="8">
        <v>240000</v>
      </c>
      <c r="S29" s="58" t="s">
        <v>215</v>
      </c>
      <c r="T29" s="58"/>
      <c r="V29" s="58" t="s">
        <v>215</v>
      </c>
      <c r="W29" s="58"/>
      <c r="Y29" s="58" t="s">
        <v>216</v>
      </c>
      <c r="Z29" s="58"/>
    </row>
    <row r="30" spans="1:26">
      <c r="A30" s="52" t="s">
        <v>179</v>
      </c>
      <c r="B30" s="52"/>
      <c r="L30" s="8" t="s">
        <v>15</v>
      </c>
      <c r="M30" s="8" t="s">
        <v>63</v>
      </c>
      <c r="N30" s="8" t="s">
        <v>17</v>
      </c>
      <c r="O30" s="8" t="s">
        <v>18</v>
      </c>
      <c r="P30" s="8">
        <v>62000</v>
      </c>
      <c r="Q30" s="8">
        <v>215000</v>
      </c>
      <c r="S30" s="30" t="s">
        <v>8</v>
      </c>
      <c r="T30" s="30" t="s">
        <v>10</v>
      </c>
      <c r="V30" s="30" t="s">
        <v>10</v>
      </c>
      <c r="W30" s="30" t="s">
        <v>8</v>
      </c>
      <c r="Y30" s="30" t="s">
        <v>8</v>
      </c>
      <c r="Z30" s="30" t="s">
        <v>10</v>
      </c>
    </row>
    <row r="31" spans="1:26">
      <c r="A31" s="52" t="s">
        <v>180</v>
      </c>
      <c r="B31" s="52"/>
      <c r="L31" s="8" t="s">
        <v>19</v>
      </c>
      <c r="M31" s="8" t="s">
        <v>33</v>
      </c>
      <c r="N31" s="8" t="s">
        <v>183</v>
      </c>
      <c r="O31" s="8" t="s">
        <v>21</v>
      </c>
      <c r="P31" s="8">
        <v>65000</v>
      </c>
      <c r="Q31" s="8">
        <v>195000</v>
      </c>
      <c r="S31">
        <v>57000</v>
      </c>
      <c r="T31" t="e">
        <f>_xlfn.XLOOKUP(S31,$P$29:$P$35,$Q$29:$Q$35,,-1,2)</f>
        <v>#N/A</v>
      </c>
      <c r="V31" s="33">
        <v>100000</v>
      </c>
      <c r="W31" s="33" t="e">
        <f>_xlfn.XLOOKUP(V31,$Q$29:$Q$35,$P$29:$P$35,,-1,-2)</f>
        <v>#N/A</v>
      </c>
      <c r="Y31" s="33">
        <v>57000</v>
      </c>
      <c r="Z31" t="e">
        <f>_xlfn.XLOOKUP(Y31,$P$29:$P$35,$Q$29:$Q$35,,-1,1)</f>
        <v>#N/A</v>
      </c>
    </row>
    <row r="32" spans="1:26">
      <c r="L32" s="8" t="s">
        <v>23</v>
      </c>
      <c r="M32" s="8" t="s">
        <v>62</v>
      </c>
      <c r="N32" s="8" t="s">
        <v>185</v>
      </c>
      <c r="O32" s="8" t="s">
        <v>14</v>
      </c>
      <c r="P32" s="8">
        <v>71000</v>
      </c>
      <c r="Q32" s="8">
        <v>142000</v>
      </c>
      <c r="S32">
        <v>63000</v>
      </c>
      <c r="T32" s="33">
        <f t="shared" ref="T32:T33" si="0">_xlfn.XLOOKUP(S32,$P$29:$P$35,$Q$29:$Q$35,,-1,2)</f>
        <v>215000</v>
      </c>
      <c r="V32">
        <v>140000</v>
      </c>
      <c r="W32" s="33">
        <f t="shared" ref="W32:W33" si="1">_xlfn.XLOOKUP(V32,$Q$29:$Q$35,$P$29:$P$35,,-1,-2)</f>
        <v>78000</v>
      </c>
      <c r="Y32" s="33">
        <v>63000</v>
      </c>
      <c r="Z32" s="33">
        <f t="shared" ref="Z32:Z33" si="2">_xlfn.XLOOKUP(Y32,$P$29:$P$35,$Q$29:$Q$35,,-1,1)</f>
        <v>215000</v>
      </c>
    </row>
    <row r="33" spans="12:26">
      <c r="L33" s="8" t="s">
        <v>25</v>
      </c>
      <c r="M33" s="8" t="s">
        <v>16</v>
      </c>
      <c r="N33" s="8" t="s">
        <v>30</v>
      </c>
      <c r="O33" s="8" t="s">
        <v>27</v>
      </c>
      <c r="P33" s="8">
        <v>78000</v>
      </c>
      <c r="Q33" s="8">
        <v>135000</v>
      </c>
      <c r="S33">
        <v>93000</v>
      </c>
      <c r="T33" s="33">
        <f t="shared" si="0"/>
        <v>108000</v>
      </c>
      <c r="V33">
        <v>250000</v>
      </c>
      <c r="W33" s="33">
        <f t="shared" si="1"/>
        <v>58000</v>
      </c>
      <c r="Y33" s="33">
        <v>93000</v>
      </c>
      <c r="Z33" s="33">
        <f t="shared" si="2"/>
        <v>108000</v>
      </c>
    </row>
    <row r="34" spans="12:26">
      <c r="L34" s="8" t="s">
        <v>28</v>
      </c>
      <c r="M34" s="8" t="s">
        <v>12</v>
      </c>
      <c r="N34" s="8" t="s">
        <v>13</v>
      </c>
      <c r="O34" s="8" t="s">
        <v>27</v>
      </c>
      <c r="P34" s="8">
        <v>85000</v>
      </c>
      <c r="Q34" s="8">
        <v>130000</v>
      </c>
      <c r="Y34" s="33"/>
    </row>
    <row r="35" spans="12:26">
      <c r="L35" s="8" t="s">
        <v>32</v>
      </c>
      <c r="M35" s="8" t="s">
        <v>24</v>
      </c>
      <c r="N35" s="8" t="s">
        <v>187</v>
      </c>
      <c r="O35" s="8" t="s">
        <v>21</v>
      </c>
      <c r="P35" s="8">
        <v>92000</v>
      </c>
      <c r="Q35" s="8">
        <v>108000</v>
      </c>
      <c r="S35" s="33">
        <v>57000</v>
      </c>
      <c r="T35">
        <f>_xlfn.XLOOKUP(S35,$P$29:$P$35,$Q$29:$Q$35,,1,2)</f>
        <v>240000</v>
      </c>
      <c r="V35" s="33">
        <v>100000</v>
      </c>
      <c r="W35">
        <f>_xlfn.XLOOKUP(V35,$Q$29:$Q$35,$P$29:$P$35,,1,-2)</f>
        <v>92000</v>
      </c>
      <c r="Y35" s="33">
        <v>57000</v>
      </c>
      <c r="Z35">
        <f>_xlfn.XLOOKUP(Y35,$P$29:$P$35,$Q$29:$Q$35,,1,-1)</f>
        <v>240000</v>
      </c>
    </row>
    <row r="36" spans="12:26">
      <c r="S36" s="33">
        <v>63000</v>
      </c>
      <c r="T36" s="33">
        <f t="shared" ref="T36:T37" si="3">_xlfn.XLOOKUP(S36,$P$29:$P$35,$Q$29:$Q$35,,1,2)</f>
        <v>195000</v>
      </c>
      <c r="V36" s="33">
        <v>140000</v>
      </c>
      <c r="W36" s="33">
        <f t="shared" ref="W36:W37" si="4">_xlfn.XLOOKUP(V36,$Q$29:$Q$35,$P$29:$P$35,,1,-2)</f>
        <v>71000</v>
      </c>
      <c r="Y36" s="33">
        <v>63000</v>
      </c>
      <c r="Z36" s="33">
        <f t="shared" ref="Z36:Z37" si="5">_xlfn.XLOOKUP(Y36,$P$29:$P$35,$Q$29:$Q$35,,1,-1)</f>
        <v>195000</v>
      </c>
    </row>
    <row r="37" spans="12:26">
      <c r="L37" s="30" t="s">
        <v>8</v>
      </c>
      <c r="M37" s="30" t="s">
        <v>4</v>
      </c>
      <c r="O37" s="30" t="s">
        <v>5</v>
      </c>
      <c r="P37" s="30" t="s">
        <v>4</v>
      </c>
      <c r="S37" s="33">
        <v>93000</v>
      </c>
      <c r="T37" s="33" t="e">
        <f t="shared" si="3"/>
        <v>#N/A</v>
      </c>
      <c r="V37" s="33">
        <v>250000</v>
      </c>
      <c r="W37" s="33" t="e">
        <f t="shared" si="4"/>
        <v>#N/A</v>
      </c>
      <c r="Y37" s="33">
        <v>93000</v>
      </c>
      <c r="Z37" s="33" t="e">
        <f t="shared" si="5"/>
        <v>#N/A</v>
      </c>
    </row>
    <row r="38" spans="12:26">
      <c r="L38">
        <v>60000</v>
      </c>
      <c r="M38" t="str">
        <f>_xlfn.XLOOKUP(L38,P29:P35,L29:L35,,-1,2)</f>
        <v>EMP-105</v>
      </c>
      <c r="O38" t="s">
        <v>33</v>
      </c>
      <c r="P38" t="str">
        <f>_xlfn.XLOOKUP(O38,M29:M35,L29:L35,,0,2)</f>
        <v>EMP-107</v>
      </c>
    </row>
    <row r="39" spans="12:26">
      <c r="M39" t="str">
        <f>_xlfn.XLOOKUP(L38,P29:P35,L29:L35,,1,2)</f>
        <v>EMP-102</v>
      </c>
      <c r="O39" t="s">
        <v>181</v>
      </c>
      <c r="P39" t="str">
        <f>_xlfn.XLOOKUP(O39,M29:M35,L29:L35,,-1,2)</f>
        <v>EMP-102</v>
      </c>
    </row>
    <row r="40" spans="12:26">
      <c r="L40">
        <v>140000</v>
      </c>
      <c r="M40" t="str">
        <f>_xlfn.XLOOKUP(L40,Q29:Q35,L29:L35,,-1,-2)</f>
        <v>EMP-104</v>
      </c>
      <c r="P40" t="str">
        <f>_xlfn.XLOOKUP(O39,M29:M35,L29:L35,,1,2)</f>
        <v>EMP-107</v>
      </c>
      <c r="Q40" t="s">
        <v>2</v>
      </c>
      <c r="R40" s="45" t="s">
        <v>182</v>
      </c>
      <c r="S40" s="45"/>
      <c r="T40" s="45"/>
      <c r="U40" s="45"/>
    </row>
    <row r="41" spans="12:26">
      <c r="M41" t="str">
        <f>_xlfn.XLOOKUP(L40,Q29:Q35,L29:L35,,1,-2)</f>
        <v>EMP-101</v>
      </c>
    </row>
    <row r="42" spans="12:26">
      <c r="L42">
        <v>71000</v>
      </c>
      <c r="M42" t="str">
        <f>_xlfn.XLOOKUP(L42,P29:P35,L29:L35,,0,2)</f>
        <v>EMP-101</v>
      </c>
      <c r="O42" s="30" t="s">
        <v>6</v>
      </c>
      <c r="P42" s="30" t="s">
        <v>4</v>
      </c>
    </row>
    <row r="43" spans="12:26">
      <c r="M43" t="str">
        <f>_xlfn.XLOOKUP(L42,P29:P35,L29:L35,,-1,2)</f>
        <v>EMP-101</v>
      </c>
      <c r="O43" t="s">
        <v>183</v>
      </c>
      <c r="P43" t="str">
        <f>_xlfn.XLOOKUP(O43,N29:N35,L29:L35,,-1,-2)</f>
        <v>EMP-107</v>
      </c>
    </row>
    <row r="44" spans="12:26" ht="15" customHeight="1">
      <c r="L44">
        <v>130000</v>
      </c>
      <c r="M44" t="str">
        <f>_xlfn.XLOOKUP(L44,Q29:Q35,L29:L35,,0,-2)</f>
        <v>EMP-106</v>
      </c>
      <c r="O44" t="s">
        <v>186</v>
      </c>
      <c r="P44" t="str">
        <f>_xlfn.XLOOKUP(O44,N29:N35,L29:L35,,1,-2)</f>
        <v>EMP-106</v>
      </c>
      <c r="Q44" t="s">
        <v>2</v>
      </c>
      <c r="R44" s="41" t="s">
        <v>189</v>
      </c>
      <c r="S44" s="41"/>
      <c r="T44" s="41"/>
      <c r="U44" s="41"/>
      <c r="V44" s="41"/>
    </row>
    <row r="45" spans="12:26">
      <c r="M45" t="str">
        <f>_xlfn.XLOOKUP(L44,Q29:Q35,L29:L35,,1,-2)</f>
        <v>EMP-106</v>
      </c>
      <c r="R45" s="41"/>
      <c r="S45" s="41"/>
      <c r="T45" s="41"/>
      <c r="U45" s="41"/>
      <c r="V45" s="41"/>
    </row>
    <row r="46" spans="12:26">
      <c r="O46" s="30" t="s">
        <v>7</v>
      </c>
      <c r="P46" s="30" t="s">
        <v>4</v>
      </c>
    </row>
    <row r="47" spans="12:26" ht="15" customHeight="1">
      <c r="O47" t="s">
        <v>18</v>
      </c>
      <c r="P47" t="e">
        <f>_xlfn.XLOOKUP(O47,O29:O35,L29:L35,,0,2)</f>
        <v>#N/A</v>
      </c>
      <c r="Q47" t="s">
        <v>2</v>
      </c>
      <c r="R47" s="41" t="s">
        <v>188</v>
      </c>
      <c r="S47" s="41"/>
      <c r="T47" s="41"/>
    </row>
    <row r="48" spans="12:26">
      <c r="P48" t="str">
        <f>_xlfn.XLOOKUP(O47,O29:O35,L29:L35,,0,-2)</f>
        <v>EMP-102</v>
      </c>
      <c r="Q48" t="s">
        <v>2</v>
      </c>
      <c r="R48" s="41"/>
      <c r="S48" s="41"/>
      <c r="T48" s="41"/>
    </row>
    <row r="51" spans="15:22" ht="15" customHeight="1">
      <c r="O51" s="30" t="s">
        <v>5</v>
      </c>
      <c r="P51" s="30" t="s">
        <v>4</v>
      </c>
      <c r="R51" s="41" t="s">
        <v>190</v>
      </c>
      <c r="S51" s="41"/>
      <c r="T51" s="41"/>
      <c r="U51" s="41"/>
      <c r="V51" s="41"/>
    </row>
    <row r="52" spans="15:22">
      <c r="O52" t="str">
        <f>"?a*"</f>
        <v>?a*</v>
      </c>
      <c r="P52" t="str">
        <f>_xlfn.XLOOKUP(O52,M29:M35,L29:L35,,2,1)</f>
        <v>EMP-102</v>
      </c>
      <c r="R52" s="41"/>
      <c r="S52" s="41"/>
      <c r="T52" s="41"/>
      <c r="U52" s="41"/>
      <c r="V52" s="41"/>
    </row>
    <row r="53" spans="15:22">
      <c r="P53" t="str">
        <f>_xlfn.XLOOKUP(O52,M29:M35,L29:L35,,2,-1)</f>
        <v>EMP-103</v>
      </c>
      <c r="R53" s="41"/>
      <c r="S53" s="41"/>
      <c r="T53" s="41"/>
      <c r="U53" s="41"/>
      <c r="V53" s="41"/>
    </row>
    <row r="54" spans="15:22">
      <c r="P54" t="e">
        <f>_xlfn.XLOOKUP(O52,M29:M35,L29:L35,"-",2,2)</f>
        <v>#VALUE!</v>
      </c>
      <c r="Q54" t="s">
        <v>2</v>
      </c>
      <c r="R54" s="41"/>
      <c r="S54" s="41"/>
      <c r="T54" s="41"/>
      <c r="U54" s="41"/>
      <c r="V54" s="41"/>
    </row>
    <row r="55" spans="15:22">
      <c r="R55" s="44" t="s">
        <v>191</v>
      </c>
      <c r="S55" s="44"/>
      <c r="T55" s="44"/>
      <c r="U55" s="44"/>
      <c r="V55" s="44"/>
    </row>
    <row r="56" spans="15:22">
      <c r="R56" s="44"/>
      <c r="S56" s="44"/>
      <c r="T56" s="44"/>
      <c r="U56" s="44"/>
      <c r="V56" s="44"/>
    </row>
  </sheetData>
  <mergeCells count="27">
    <mergeCell ref="R44:V45"/>
    <mergeCell ref="R51:V54"/>
    <mergeCell ref="R55:V56"/>
    <mergeCell ref="C24:I24"/>
    <mergeCell ref="A27:B27"/>
    <mergeCell ref="A28:B28"/>
    <mergeCell ref="A29:B29"/>
    <mergeCell ref="A30:B30"/>
    <mergeCell ref="R40:U40"/>
    <mergeCell ref="R47:T48"/>
    <mergeCell ref="A31:B31"/>
    <mergeCell ref="S29:T29"/>
    <mergeCell ref="V29:W29"/>
    <mergeCell ref="Y29:Z29"/>
    <mergeCell ref="C23:I23"/>
    <mergeCell ref="C22:I22"/>
    <mergeCell ref="A3:J3"/>
    <mergeCell ref="B6:G6"/>
    <mergeCell ref="B8:G8"/>
    <mergeCell ref="B10:G10"/>
    <mergeCell ref="B12:G12"/>
    <mergeCell ref="C16:F16"/>
    <mergeCell ref="C17:F17"/>
    <mergeCell ref="C18:F18"/>
    <mergeCell ref="C19:F19"/>
    <mergeCell ref="C21:I21"/>
    <mergeCell ref="B15:E15"/>
  </mergeCells>
  <dataValidations count="4">
    <dataValidation type="list" allowBlank="1" showInputMessage="1" showErrorMessage="1" sqref="U15 U18 Z17 V20" xr:uid="{7ECFF628-AB95-4002-B006-488AD58E392D}">
      <formula1>$V$3:$Y$3</formula1>
    </dataValidation>
    <dataValidation type="list" allowBlank="1" showInputMessage="1" showErrorMessage="1" sqref="Q12 P15 P19" xr:uid="{1C4FC51E-6679-43AF-A073-BB8E4750BF7A}">
      <formula1>"North, East, South, West"</formula1>
    </dataValidation>
    <dataValidation type="list" allowBlank="1" showInputMessage="1" showErrorMessage="1" sqref="L15 L18 P12 Q15 Q19" xr:uid="{2CBE1295-63FF-47C8-9549-3E65FF1A8ED5}">
      <formula1>"Engineering, Sales, Finance, Marketing"</formula1>
    </dataValidation>
    <dataValidation type="list" allowBlank="1" showInputMessage="1" showErrorMessage="1" sqref="L12" xr:uid="{2D6C6D5F-B3B1-49FE-9980-B329E41E26B5}">
      <formula1>$M$2:$M$8</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Lookup_Concept</vt:lpstr>
      <vt:lpstr>Lookup_Example</vt:lpstr>
      <vt:lpstr>Vlookup_Concept</vt:lpstr>
      <vt:lpstr>Vlookup_Example</vt:lpstr>
      <vt:lpstr>Hlookup_Concepts</vt:lpstr>
      <vt:lpstr>Hlookup_Examples</vt:lpstr>
      <vt:lpstr>IndexMatch_Concept</vt:lpstr>
      <vt:lpstr>IndexMatch_Examples</vt:lpstr>
      <vt:lpstr>Xlookup_Concept_Examples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 Gadhavi</dc:creator>
  <cp:lastModifiedBy>ASDC35</cp:lastModifiedBy>
  <dcterms:created xsi:type="dcterms:W3CDTF">2026-10-05T10:29:32Z</dcterms:created>
  <dcterms:modified xsi:type="dcterms:W3CDTF">2026-10-24T12:29:54Z</dcterms:modified>
</cp:coreProperties>
</file>